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11475" tabRatio="600" firstSheet="0" activeTab="0" autoFilterDateGrouping="1"/>
  </bookViews>
  <sheets>
    <sheet xmlns:r="http://schemas.openxmlformats.org/officeDocument/2006/relationships" name="bai 1" sheetId="1" state="visible" r:id="rId1"/>
    <sheet xmlns:r="http://schemas.openxmlformats.org/officeDocument/2006/relationships" name="bai 2" sheetId="2" state="visible" r:id="rId2"/>
    <sheet xmlns:r="http://schemas.openxmlformats.org/officeDocument/2006/relationships" name="bai 3" sheetId="3" state="visible" r:id="rId3"/>
    <sheet xmlns:r="http://schemas.openxmlformats.org/officeDocument/2006/relationships" name="bai 4" sheetId="4" state="visible" r:id="rId4"/>
    <sheet xmlns:r="http://schemas.openxmlformats.org/officeDocument/2006/relationships" name="bai 5" sheetId="5" state="visible" r:id="rId5"/>
    <sheet xmlns:r="http://schemas.openxmlformats.org/officeDocument/2006/relationships" name="PhieuGN" sheetId="6" state="visible" r:id="rId6"/>
    <sheet xmlns:r="http://schemas.openxmlformats.org/officeDocument/2006/relationships" name="bai 6" sheetId="7" state="visible" r:id="rId7"/>
    <sheet xmlns:r="http://schemas.openxmlformats.org/officeDocument/2006/relationships" name="bai 7" sheetId="8" state="visible" r:id="rId8"/>
    <sheet xmlns:r="http://schemas.openxmlformats.org/officeDocument/2006/relationships" name="KETQUA" sheetId="9" state="visible" r:id="rId9"/>
  </sheets>
  <definedNames>
    <definedName name="Bang2">'bai 2'!$A$15:$K$26</definedName>
    <definedName name="bangcuuchuong">#REF!</definedName>
    <definedName name="DONG_1">'bai 2'!$B$16:$K$16</definedName>
    <definedName name="COT_1">'bai 2'!$A$17:$A$26</definedName>
    <definedName name="BangCuuChuong1">'bai 2'!$A$2:$K$12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??_);_(@_)"/>
    <numFmt numFmtId="165" formatCode="#,##0\ &quot;VNĐ&quot;"/>
    <numFmt numFmtId="166" formatCode="_(* #,##0_);_(* \(#,##0\);_(* &quot;-&quot;??_);_(@_)"/>
    <numFmt numFmtId="167" formatCode="dd/mm/yyyy"/>
  </numFmts>
  <fonts count="60">
    <font>
      <name val="Calibri"/>
      <color rgb="FF000000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color rgb="FF000000"/>
      <sz val="11"/>
    </font>
    <font>
      <name val="Times New Roman"/>
      <family val="1"/>
      <sz val="12"/>
    </font>
    <font>
      <name val="Times New Roman"/>
      <family val="1"/>
      <b val="1"/>
      <sz val="13"/>
    </font>
    <font>
      <name val="Times New Roman"/>
      <family val="1"/>
      <color rgb="FF000000"/>
      <sz val="13"/>
    </font>
    <font>
      <name val="Times New Roman"/>
      <family val="1"/>
      <sz val="13"/>
    </font>
    <font>
      <name val="Times New Roman"/>
      <family val="1"/>
      <b val="1"/>
      <sz val="18"/>
    </font>
    <font>
      <name val="Times New Roman"/>
      <family val="1"/>
      <b val="1"/>
      <color rgb="FFFF0000"/>
      <sz val="13"/>
    </font>
    <font>
      <name val="Times New Roman"/>
      <family val="1"/>
      <b val="1"/>
      <color rgb="FF002060"/>
      <sz val="13"/>
    </font>
    <font>
      <name val="Times New Roman"/>
      <family val="1"/>
      <color rgb="FFFFFF00"/>
      <sz val="13"/>
    </font>
    <font>
      <name val="Times New Roman"/>
      <family val="1"/>
      <b val="1"/>
      <color rgb="FF000000"/>
      <sz val="24"/>
    </font>
    <font>
      <name val="Calibri"/>
      <family val="2"/>
      <color rgb="FF000000"/>
      <sz val="11"/>
    </font>
    <font>
      <name val="Times New Roman"/>
      <family val="1"/>
      <b val="1"/>
      <color rgb="FF0000FF"/>
      <sz val="13"/>
    </font>
    <font>
      <name val="Times New Roman"/>
      <family val="1"/>
      <sz val="10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sz val="11"/>
    </font>
    <font>
      <name val="Times New Roman"/>
      <family val="1"/>
      <i val="1"/>
      <sz val="12"/>
    </font>
    <font>
      <name val="Times New Roman"/>
      <charset val="163"/>
      <family val="1"/>
      <b val="1"/>
      <color rgb="FFFF0000"/>
      <sz val="11"/>
    </font>
    <font>
      <name val="Calibri"/>
      <charset val="163"/>
      <family val="2"/>
      <b val="1"/>
      <i val="1"/>
      <color theme="1"/>
      <sz val="11"/>
      <scheme val="minor"/>
    </font>
    <font>
      <name val="Times New Roman"/>
      <family val="1"/>
      <color rgb="FF000000"/>
      <sz val="12"/>
    </font>
    <font>
      <name val="Times New Roman"/>
      <family val="1"/>
      <b val="1"/>
      <color rgb="FFFF0000"/>
      <sz val="12"/>
      <u val="single"/>
    </font>
    <font>
      <name val="Times New Roman"/>
      <family val="1"/>
      <sz val="12"/>
    </font>
    <font>
      <name val="Times New Roman"/>
      <family val="1"/>
      <color rgb="FF0000FF"/>
      <sz val="12"/>
    </font>
    <font>
      <name val="Times New Roman"/>
      <family val="1"/>
      <b val="1"/>
      <sz val="12"/>
    </font>
    <font>
      <name val="Times New Roman"/>
      <family val="1"/>
      <i val="1"/>
      <color rgb="FFFF0000"/>
      <sz val="12"/>
    </font>
    <font>
      <name val="Times New Roman"/>
      <family val="1"/>
      <b val="1"/>
      <i val="1"/>
      <color rgb="FFFF0000"/>
      <sz val="12"/>
    </font>
    <font>
      <name val="Calibri"/>
      <family val="2"/>
      <i val="1"/>
      <color theme="1"/>
      <sz val="11"/>
      <scheme val="minor"/>
    </font>
    <font>
      <name val="Times New Roman"/>
      <family val="1"/>
      <b val="1"/>
      <i val="1"/>
      <sz val="12"/>
    </font>
    <font>
      <name val="Times New Roman"/>
      <family val="1"/>
      <b val="1"/>
      <color rgb="FF0000FF"/>
      <sz val="11"/>
    </font>
    <font>
      <name val="Times New Roman"/>
      <family val="1"/>
      <color rgb="FF000000"/>
      <sz val="10"/>
    </font>
    <font>
      <name val="Calibri"/>
      <charset val="163"/>
      <family val="2"/>
      <b val="1"/>
      <color theme="9" tint="-0.499984740745262"/>
      <sz val="11"/>
      <scheme val="minor"/>
    </font>
    <font>
      <name val="Times New Roman"/>
      <family val="1"/>
      <b val="1"/>
      <color theme="8" tint="-0.249977111117893"/>
      <sz val="12"/>
    </font>
    <font>
      <name val="Times New Roman"/>
      <family val="1"/>
      <b val="1"/>
      <color theme="9" tint="-0.499984740745262"/>
      <sz val="12"/>
    </font>
    <font>
      <name val="Times New Roman"/>
      <family val="1"/>
      <b val="1"/>
      <color rgb="FFC00000"/>
      <sz val="12"/>
    </font>
    <font>
      <name val="Times New Roman"/>
      <family val="1"/>
      <b val="1"/>
      <color theme="4" tint="-0.249977111117893"/>
      <sz val="13"/>
    </font>
    <font>
      <name val="Times New Roman"/>
      <family val="1"/>
      <b val="1"/>
      <color theme="8" tint="-0.249977111117893"/>
      <sz val="10"/>
    </font>
    <font>
      <name val="Symbol"/>
      <charset val="2"/>
      <family val="1"/>
      <b val="1"/>
      <color theme="8" tint="-0.249977111117893"/>
      <sz val="12"/>
    </font>
    <font>
      <name val="Times New Roman"/>
      <family val="1"/>
      <b val="1"/>
      <color theme="8" tint="-0.249977111117893"/>
      <sz val="12"/>
      <vertAlign val="superscript"/>
    </font>
    <font>
      <name val="Times New Roman"/>
      <family val="1"/>
      <b val="1"/>
      <color theme="8" tint="-0.249977111117893"/>
      <sz val="12"/>
      <vertAlign val="subscript"/>
    </font>
    <font>
      <name val="Times New Roman"/>
      <family val="1"/>
      <b val="1"/>
      <color rgb="FFFF0000"/>
      <sz val="10"/>
    </font>
    <font>
      <name val="Times New Roman"/>
      <family val="1"/>
      <b val="1"/>
      <color theme="9" tint="-0.249977111117893"/>
      <sz val="24"/>
    </font>
    <font>
      <name val="Times New Roman"/>
      <family val="1"/>
      <b val="1"/>
      <color rgb="FF000000"/>
      <sz val="12"/>
    </font>
    <font>
      <name val="Calibri"/>
      <family val="2"/>
      <b val="1"/>
      <color rgb="FF0000FF"/>
      <sz val="16"/>
      <scheme val="minor"/>
    </font>
    <font>
      <name val="Times New Roman"/>
      <family val="1"/>
      <b val="1"/>
      <sz val="12"/>
      <u val="single"/>
    </font>
    <font>
      <name val="Times New Roman"/>
      <family val="1"/>
      <sz val="36"/>
    </font>
    <font>
      <name val="Calibri"/>
      <family val="2"/>
      <color theme="1"/>
      <sz val="11"/>
    </font>
    <font>
      <name val="Times New Roman"/>
      <family val="1"/>
      <b val="1"/>
      <color rgb="FF0000FF"/>
      <sz val="12"/>
    </font>
    <font>
      <name val="Times New Roman"/>
      <family val="1"/>
      <b val="1"/>
      <color rgb="FFFF0000"/>
      <sz val="15"/>
      <u val="single"/>
    </font>
    <font>
      <name val="Calibri"/>
      <family val="2"/>
      <color rgb="FF0000FF"/>
      <sz val="11"/>
    </font>
    <font>
      <name val="Times New Roman"/>
      <family val="1"/>
      <i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8"/>
      <u val="single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0" fontId="4" fillId="0" borderId="0"/>
    <xf numFmtId="44" fontId="4" fillId="0" borderId="0"/>
    <xf numFmtId="0" fontId="4" fillId="0" borderId="0" applyAlignment="1">
      <alignment vertical="center"/>
    </xf>
    <xf numFmtId="0" fontId="16" fillId="0" borderId="0"/>
    <xf numFmtId="0" fontId="3" fillId="0" borderId="0"/>
    <xf numFmtId="43" fontId="3" fillId="0" borderId="0"/>
    <xf numFmtId="0" fontId="4" fillId="0" borderId="0"/>
    <xf numFmtId="0" fontId="16" fillId="0" borderId="0"/>
    <xf numFmtId="0" fontId="3" fillId="0" borderId="0"/>
  </cellStyleXfs>
  <cellXfs count="166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1"/>
    <xf numFmtId="0" fontId="6" fillId="0" borderId="0" pivotButton="0" quotePrefix="0" xfId="0"/>
    <xf numFmtId="0" fontId="8" fillId="2" borderId="2" applyAlignment="1" pivotButton="0" quotePrefix="0" xfId="1">
      <alignment horizontal="center" vertical="center" wrapText="1"/>
    </xf>
    <xf numFmtId="0" fontId="8" fillId="2" borderId="3" applyAlignment="1" pivotButton="0" quotePrefix="0" xfId="1">
      <alignment horizontal="center" vertical="center" wrapText="1"/>
    </xf>
    <xf numFmtId="0" fontId="8" fillId="2" borderId="4" applyAlignment="1" pivotButton="0" quotePrefix="0" xfId="1">
      <alignment horizontal="center" vertical="center" wrapText="1"/>
    </xf>
    <xf numFmtId="0" fontId="9" fillId="0" borderId="0" pivotButton="0" quotePrefix="0" xfId="0"/>
    <xf numFmtId="0" fontId="10" fillId="0" borderId="5" pivotButton="0" quotePrefix="0" xfId="1"/>
    <xf numFmtId="0" fontId="10" fillId="0" borderId="1" pivotButton="0" quotePrefix="0" xfId="1"/>
    <xf numFmtId="0" fontId="10" fillId="0" borderId="6" pivotButton="0" quotePrefix="0" xfId="1"/>
    <xf numFmtId="0" fontId="10" fillId="0" borderId="7" pivotButton="0" quotePrefix="0" xfId="1"/>
    <xf numFmtId="0" fontId="10" fillId="0" borderId="8" pivotButton="0" quotePrefix="0" xfId="1"/>
    <xf numFmtId="0" fontId="10" fillId="0" borderId="9" pivotButton="0" quotePrefix="0" xfId="1"/>
    <xf numFmtId="0" fontId="10" fillId="0" borderId="0" pivotButton="0" quotePrefix="0" xfId="1"/>
    <xf numFmtId="0" fontId="9" fillId="0" borderId="0" pivotButton="0" quotePrefix="0" xfId="0"/>
    <xf numFmtId="0" fontId="7" fillId="0" borderId="0" pivotButton="0" quotePrefix="0" xfId="1"/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center"/>
    </xf>
    <xf numFmtId="0" fontId="10" fillId="0" borderId="0" pivotButton="0" quotePrefix="0" xfId="1"/>
    <xf numFmtId="0" fontId="10" fillId="0" borderId="0" applyAlignment="1" pivotButton="0" quotePrefix="0" xfId="1">
      <alignment horizontal="right"/>
    </xf>
    <xf numFmtId="0" fontId="10" fillId="0" borderId="0" applyAlignment="1" pivotButton="0" quotePrefix="0" xfId="1">
      <alignment horizontal="center"/>
    </xf>
    <xf numFmtId="0" fontId="8" fillId="2" borderId="3" applyAlignment="1" pivotButton="0" quotePrefix="0" xfId="1">
      <alignment horizontal="center" vertical="center" textRotation="180" wrapText="1"/>
    </xf>
    <xf numFmtId="0" fontId="8" fillId="2" borderId="3" applyAlignment="1" pivotButton="0" quotePrefix="0" xfId="1">
      <alignment horizontal="center" vertical="center" textRotation="90" wrapText="1"/>
    </xf>
    <xf numFmtId="0" fontId="10" fillId="0" borderId="0" pivotButton="0" quotePrefix="0" xfId="1"/>
    <xf numFmtId="164" fontId="12" fillId="0" borderId="1" applyAlignment="1" pivotButton="0" quotePrefix="0" xfId="2">
      <alignment horizontal="center"/>
    </xf>
    <xf numFmtId="165" fontId="13" fillId="0" borderId="6" applyAlignment="1" pivotButton="0" quotePrefix="0" xfId="1">
      <alignment horizontal="center"/>
    </xf>
    <xf numFmtId="164" fontId="12" fillId="0" borderId="8" applyAlignment="1" pivotButton="0" quotePrefix="0" xfId="2">
      <alignment horizontal="center"/>
    </xf>
    <xf numFmtId="165" fontId="13" fillId="0" borderId="9" applyAlignment="1" pivotButton="0" quotePrefix="0" xfId="1">
      <alignment horizontal="center"/>
    </xf>
    <xf numFmtId="0" fontId="11" fillId="0" borderId="0" applyAlignment="1" pivotButton="0" quotePrefix="0" xfId="1">
      <alignment vertical="center"/>
    </xf>
    <xf numFmtId="0" fontId="9" fillId="0" borderId="0" pivotButton="0" quotePrefix="0" xfId="4"/>
    <xf numFmtId="0" fontId="9" fillId="0" borderId="1" pivotButton="0" quotePrefix="0" xfId="4"/>
    <xf numFmtId="0" fontId="17" fillId="0" borderId="0" pivotButton="0" quotePrefix="0" xfId="1"/>
    <xf numFmtId="0" fontId="8" fillId="4" borderId="0" pivotButton="0" quotePrefix="0" xfId="1"/>
    <xf numFmtId="0" fontId="15" fillId="3" borderId="0" pivotButton="0" quotePrefix="0" xfId="0"/>
    <xf numFmtId="0" fontId="9" fillId="0" borderId="1" pivotButton="0" quotePrefix="0" xfId="0"/>
    <xf numFmtId="0" fontId="9" fillId="2" borderId="1" pivotButton="0" quotePrefix="0" xfId="0"/>
    <xf numFmtId="0" fontId="9" fillId="5" borderId="1" pivotButton="0" quotePrefix="0" xfId="0"/>
    <xf numFmtId="0" fontId="9" fillId="0" borderId="0" pivotButton="0" quotePrefix="0" xfId="4"/>
    <xf numFmtId="9" fontId="17" fillId="6" borderId="0" pivotButton="0" quotePrefix="0" xfId="1"/>
    <xf numFmtId="0" fontId="10" fillId="6" borderId="1" pivotButton="0" quotePrefix="0" xfId="1"/>
    <xf numFmtId="0" fontId="18" fillId="0" borderId="0" pivotButton="0" quotePrefix="0" xfId="1"/>
    <xf numFmtId="0" fontId="7" fillId="0" borderId="1" applyAlignment="1" pivotButton="0" quotePrefix="0" xfId="0">
      <alignment horizontal="center"/>
    </xf>
    <xf numFmtId="0" fontId="20" fillId="0" borderId="1" pivotButton="0" quotePrefix="0" xfId="0"/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3" fillId="0" borderId="0" pivotButton="0" quotePrefix="0" xfId="5"/>
    <xf numFmtId="0" fontId="3" fillId="0" borderId="1" pivotButton="0" quotePrefix="0" xfId="5"/>
    <xf numFmtId="0" fontId="21" fillId="0" borderId="0" pivotButton="0" quotePrefix="0" xfId="5"/>
    <xf numFmtId="166" fontId="23" fillId="0" borderId="0" pivotButton="0" quotePrefix="0" xfId="6"/>
    <xf numFmtId="0" fontId="7" fillId="0" borderId="14" applyAlignment="1" pivotButton="0" quotePrefix="0" xfId="5">
      <alignment horizontal="center"/>
    </xf>
    <xf numFmtId="0" fontId="7" fillId="0" borderId="0" pivotButton="0" quotePrefix="0" xfId="5"/>
    <xf numFmtId="0" fontId="7" fillId="0" borderId="1" applyAlignment="1" pivotButton="0" quotePrefix="0" xfId="5">
      <alignment horizontal="center"/>
    </xf>
    <xf numFmtId="0" fontId="7" fillId="0" borderId="1" pivotButton="0" quotePrefix="0" xfId="5"/>
    <xf numFmtId="14" fontId="7" fillId="0" borderId="1" pivotButton="0" quotePrefix="0" xfId="5"/>
    <xf numFmtId="14" fontId="7" fillId="0" borderId="1" applyAlignment="1" pivotButton="0" quotePrefix="0" xfId="5">
      <alignment horizontal="center"/>
    </xf>
    <xf numFmtId="166" fontId="7" fillId="0" borderId="1" applyAlignment="1" pivotButton="0" quotePrefix="0" xfId="5">
      <alignment horizontal="center"/>
    </xf>
    <xf numFmtId="0" fontId="7" fillId="0" borderId="0" applyAlignment="1" pivotButton="0" quotePrefix="0" xfId="5">
      <alignment horizontal="center"/>
    </xf>
    <xf numFmtId="0" fontId="7" fillId="0" borderId="0" pivotButton="0" quotePrefix="0" xfId="5"/>
    <xf numFmtId="14" fontId="7" fillId="0" borderId="0" applyAlignment="1" pivotButton="0" quotePrefix="0" xfId="5">
      <alignment horizontal="center"/>
    </xf>
    <xf numFmtId="0" fontId="20" fillId="0" borderId="0" pivotButton="0" quotePrefix="0" xfId="5"/>
    <xf numFmtId="0" fontId="20" fillId="0" borderId="1" applyAlignment="1" pivotButton="0" quotePrefix="0" xfId="5">
      <alignment horizontal="center" vertical="center"/>
    </xf>
    <xf numFmtId="0" fontId="24" fillId="0" borderId="0" applyAlignment="1" pivotButton="0" quotePrefix="0" xfId="5">
      <alignment wrapText="1"/>
    </xf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27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right"/>
    </xf>
    <xf numFmtId="0" fontId="27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right"/>
    </xf>
    <xf numFmtId="0" fontId="7" fillId="0" borderId="0" pivotButton="0" quotePrefix="0" xfId="1"/>
    <xf numFmtId="0" fontId="7" fillId="0" borderId="0" pivotButton="0" quotePrefix="0" xfId="1"/>
    <xf numFmtId="0" fontId="18" fillId="0" borderId="1" applyAlignment="1" pivotButton="0" quotePrefix="0" xfId="1">
      <alignment horizontal="center"/>
    </xf>
    <xf numFmtId="0" fontId="22" fillId="0" borderId="0" pivotButton="0" quotePrefix="0" xfId="0"/>
    <xf numFmtId="0" fontId="10" fillId="0" borderId="15" pivotButton="0" quotePrefix="0" xfId="1"/>
    <xf numFmtId="164" fontId="12" fillId="0" borderId="16" applyAlignment="1" pivotButton="0" quotePrefix="0" xfId="2">
      <alignment horizontal="center"/>
    </xf>
    <xf numFmtId="165" fontId="13" fillId="0" borderId="17" applyAlignment="1" pivotButton="0" quotePrefix="0" xfId="1">
      <alignment horizontal="center"/>
    </xf>
    <xf numFmtId="0" fontId="10" fillId="0" borderId="18" pivotButton="0" quotePrefix="0" xfId="1"/>
    <xf numFmtId="0" fontId="10" fillId="0" borderId="19" pivotButton="0" quotePrefix="0" xfId="1"/>
    <xf numFmtId="0" fontId="10" fillId="0" borderId="20" pivotButton="0" quotePrefix="0" xfId="1"/>
    <xf numFmtId="0" fontId="10" fillId="0" borderId="0" pivotButton="0" quotePrefix="0" xfId="1"/>
    <xf numFmtId="0" fontId="14" fillId="0" borderId="0" pivotButton="0" quotePrefix="0" xfId="1"/>
    <xf numFmtId="0" fontId="35" fillId="0" borderId="0" pivotButton="0" quotePrefix="0" xfId="0"/>
    <xf numFmtId="0" fontId="35" fillId="0" borderId="0" pivotButton="0" quotePrefix="0" xfId="0"/>
    <xf numFmtId="0" fontId="19" fillId="2" borderId="1" applyAlignment="1" pivotButton="0" quotePrefix="0" xfId="1">
      <alignment horizontal="center" vertical="center" wrapText="1"/>
    </xf>
    <xf numFmtId="0" fontId="35" fillId="0" borderId="1" pivotButton="0" quotePrefix="0" xfId="0"/>
    <xf numFmtId="0" fontId="19" fillId="2" borderId="12" applyAlignment="1" pivotButton="0" quotePrefix="0" xfId="1">
      <alignment horizontal="center" vertical="center" wrapText="1"/>
    </xf>
    <xf numFmtId="0" fontId="9" fillId="0" borderId="22" pivotButton="0" quotePrefix="0" xfId="0"/>
    <xf numFmtId="0" fontId="10" fillId="0" borderId="6" applyAlignment="1" pivotButton="0" quotePrefix="0" xfId="1">
      <alignment horizontal="center" vertical="center" wrapText="1"/>
    </xf>
    <xf numFmtId="0" fontId="36" fillId="7" borderId="1" pivotButton="0" quotePrefix="0" xfId="5"/>
    <xf numFmtId="0" fontId="39" fillId="10" borderId="1" applyAlignment="1" pivotButton="0" quotePrefix="0" xfId="5">
      <alignment horizontal="center" vertical="center"/>
    </xf>
    <xf numFmtId="0" fontId="39" fillId="10" borderId="1" applyAlignment="1" pivotButton="0" quotePrefix="0" xfId="5">
      <alignment horizontal="center" vertical="center" wrapText="1"/>
    </xf>
    <xf numFmtId="0" fontId="40" fillId="8" borderId="1" applyAlignment="1" pivotButton="0" quotePrefix="0" xfId="1">
      <alignment horizontal="center" vertical="center" wrapText="1"/>
    </xf>
    <xf numFmtId="0" fontId="37" fillId="9" borderId="1" applyAlignment="1" pivotButton="0" quotePrefix="0" xfId="0">
      <alignment horizontal="center" vertical="center"/>
    </xf>
    <xf numFmtId="0" fontId="41" fillId="9" borderId="1" applyAlignment="1" pivotButton="0" quotePrefix="0" xfId="1">
      <alignment horizontal="center" vertical="center"/>
    </xf>
    <xf numFmtId="0" fontId="42" fillId="9" borderId="1" applyAlignment="1" pivotButton="0" quotePrefix="0" xfId="0">
      <alignment horizontal="center" vertical="center"/>
    </xf>
    <xf numFmtId="0" fontId="45" fillId="0" borderId="0" pivotButton="0" quotePrefix="0" xfId="1"/>
    <xf numFmtId="0" fontId="46" fillId="3" borderId="0" pivotButton="0" quotePrefix="0" xfId="0"/>
    <xf numFmtId="0" fontId="20" fillId="6" borderId="21" pivotButton="0" quotePrefix="0" xfId="1"/>
    <xf numFmtId="0" fontId="20" fillId="6" borderId="1" pivotButton="0" quotePrefix="0" xfId="1"/>
    <xf numFmtId="0" fontId="47" fillId="6" borderId="1" pivotButton="0" quotePrefix="0" xfId="0"/>
    <xf numFmtId="0" fontId="49" fillId="0" borderId="0" applyAlignment="1" pivotButton="0" quotePrefix="0" xfId="7">
      <alignment horizontal="left"/>
    </xf>
    <xf numFmtId="0" fontId="7" fillId="0" borderId="0" applyAlignment="1" pivotButton="0" quotePrefix="0" xfId="7">
      <alignment horizontal="center"/>
    </xf>
    <xf numFmtId="0" fontId="7" fillId="0" borderId="0" pivotButton="0" quotePrefix="0" xfId="7"/>
    <xf numFmtId="0" fontId="50" fillId="0" borderId="13" applyAlignment="1" pivotButton="0" quotePrefix="0" xfId="7">
      <alignment horizontal="center"/>
    </xf>
    <xf numFmtId="0" fontId="20" fillId="0" borderId="1" applyAlignment="1" pivotButton="0" quotePrefix="0" xfId="7">
      <alignment horizontal="center" vertical="center" wrapText="1"/>
    </xf>
    <xf numFmtId="0" fontId="20" fillId="0" borderId="0" applyAlignment="1" pivotButton="0" quotePrefix="0" xfId="8">
      <alignment horizontal="right"/>
    </xf>
    <xf numFmtId="0" fontId="7" fillId="0" borderId="0" pivotButton="0" quotePrefix="0" xfId="1"/>
    <xf numFmtId="0" fontId="7" fillId="0" borderId="1" pivotButton="0" quotePrefix="0" xfId="7"/>
    <xf numFmtId="0" fontId="7" fillId="0" borderId="1" pivotButton="0" quotePrefix="1" xfId="7"/>
    <xf numFmtId="0" fontId="7" fillId="0" borderId="1" applyAlignment="1" pivotButton="0" quotePrefix="0" xfId="7">
      <alignment horizontal="center"/>
    </xf>
    <xf numFmtId="14" fontId="7" fillId="0" borderId="1" pivotButton="0" quotePrefix="0" xfId="7"/>
    <xf numFmtId="0" fontId="7" fillId="0" borderId="1" pivotButton="0" quotePrefix="0" xfId="7"/>
    <xf numFmtId="0" fontId="7" fillId="0" borderId="0" pivotButton="0" quotePrefix="0" xfId="8"/>
    <xf numFmtId="0" fontId="20" fillId="0" borderId="0" pivotButton="0" quotePrefix="0" xfId="8"/>
    <xf numFmtId="0" fontId="0" fillId="2" borderId="0" pivotButton="0" quotePrefix="0" xfId="0"/>
    <xf numFmtId="0" fontId="16" fillId="2" borderId="0" pivotButton="0" quotePrefix="0" xfId="0"/>
    <xf numFmtId="0" fontId="25" fillId="0" borderId="0" pivotButton="0" quotePrefix="0" xfId="4"/>
    <xf numFmtId="0" fontId="16" fillId="0" borderId="0" pivotButton="0" quotePrefix="0" xfId="4"/>
    <xf numFmtId="0" fontId="26" fillId="0" borderId="0" pivotButton="0" quotePrefix="0" xfId="4"/>
    <xf numFmtId="0" fontId="7" fillId="0" borderId="0" pivotButton="0" quotePrefix="0" xfId="4"/>
    <xf numFmtId="0" fontId="7" fillId="0" borderId="0" applyAlignment="1" pivotButton="0" quotePrefix="0" xfId="4">
      <alignment horizontal="right"/>
    </xf>
    <xf numFmtId="0" fontId="53" fillId="0" borderId="0" pivotButton="0" quotePrefix="0" xfId="4"/>
    <xf numFmtId="0" fontId="53" fillId="0" borderId="0" pivotButton="0" quotePrefix="0" xfId="0"/>
    <xf numFmtId="0" fontId="52" fillId="0" borderId="0" applyAlignment="1" pivotButton="0" quotePrefix="0" xfId="0">
      <alignment horizontal="left" vertical="center"/>
    </xf>
    <xf numFmtId="0" fontId="54" fillId="0" borderId="0" pivotButton="0" quotePrefix="0" xfId="0"/>
    <xf numFmtId="0" fontId="59" fillId="0" borderId="0" pivotButton="0" quotePrefix="0" xfId="4"/>
    <xf numFmtId="0" fontId="58" fillId="0" borderId="0" pivotButton="0" quotePrefix="0" xfId="1"/>
    <xf numFmtId="0" fontId="58" fillId="0" borderId="0" pivotButton="0" quotePrefix="0" xfId="4"/>
    <xf numFmtId="0" fontId="51" fillId="0" borderId="0" pivotButton="0" quotePrefix="0" xfId="4"/>
    <xf numFmtId="0" fontId="58" fillId="0" borderId="0" pivotButton="0" quotePrefix="0" xfId="4"/>
    <xf numFmtId="0" fontId="56" fillId="0" borderId="0" applyAlignment="1" pivotButton="0" quotePrefix="0" xfId="4">
      <alignment horizontal="left" vertical="center"/>
    </xf>
    <xf numFmtId="0" fontId="58" fillId="0" borderId="0" applyAlignment="1" pivotButton="0" quotePrefix="0" xfId="4">
      <alignment horizontal="left" vertical="center"/>
    </xf>
    <xf numFmtId="0" fontId="56" fillId="0" borderId="0" applyAlignment="1" pivotButton="0" quotePrefix="0" xfId="4">
      <alignment horizontal="right"/>
    </xf>
    <xf numFmtId="0" fontId="55" fillId="0" borderId="0" pivotButton="0" quotePrefix="0" xfId="1"/>
    <xf numFmtId="0" fontId="58" fillId="0" borderId="0" pivotButton="0" quotePrefix="0" xfId="1"/>
    <xf numFmtId="0" fontId="58" fillId="0" borderId="0" pivotButton="0" quotePrefix="0" xfId="4"/>
    <xf numFmtId="0" fontId="58" fillId="0" borderId="0" applyAlignment="1" pivotButton="0" quotePrefix="0" xfId="4">
      <alignment horizontal="right"/>
    </xf>
    <xf numFmtId="0" fontId="32" fillId="0" borderId="0" applyAlignment="1" pivotButton="0" quotePrefix="0" xfId="9">
      <alignment horizontal="left" vertical="center" wrapText="1"/>
    </xf>
    <xf numFmtId="0" fontId="24" fillId="0" borderId="0" applyAlignment="1" pivotButton="0" quotePrefix="0" xfId="9">
      <alignment wrapText="1"/>
    </xf>
    <xf numFmtId="0" fontId="52" fillId="0" borderId="0" applyAlignment="1" pivotButton="0" quotePrefix="0" xfId="4">
      <alignment horizontal="left" vertical="center"/>
    </xf>
    <xf numFmtId="0" fontId="28" fillId="0" borderId="0" pivotButton="0" quotePrefix="0" xfId="4"/>
    <xf numFmtId="0" fontId="54" fillId="0" borderId="0" pivotButton="0" quotePrefix="0" xfId="4"/>
    <xf numFmtId="0" fontId="30" fillId="0" borderId="0" pivotButton="0" quotePrefix="0" xfId="1"/>
    <xf numFmtId="0" fontId="7" fillId="0" borderId="0" applyAlignment="1" pivotButton="0" quotePrefix="0" xfId="1">
      <alignment wrapText="1"/>
    </xf>
    <xf numFmtId="0" fontId="55" fillId="0" borderId="0" applyAlignment="1" pivotButton="0" quotePrefix="0" xfId="5">
      <alignment horizontal="left" vertical="center" wrapText="1"/>
    </xf>
    <xf numFmtId="0" fontId="38" fillId="6" borderId="10" applyAlignment="1" pivotButton="0" quotePrefix="0" xfId="0">
      <alignment horizontal="center"/>
    </xf>
    <xf numFmtId="0" fontId="38" fillId="6" borderId="11" applyAlignment="1" pivotButton="0" quotePrefix="0" xfId="0">
      <alignment horizontal="center"/>
    </xf>
    <xf numFmtId="0" fontId="38" fillId="6" borderId="12" applyAlignment="1" pivotButton="0" quotePrefix="0" xfId="0">
      <alignment horizontal="center"/>
    </xf>
    <xf numFmtId="0" fontId="11" fillId="0" borderId="0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34" fillId="0" borderId="0" applyAlignment="1" pivotButton="0" quotePrefix="0" xfId="0">
      <alignment horizontal="center"/>
    </xf>
    <xf numFmtId="0" fontId="50" fillId="0" borderId="0" applyAlignment="1" pivotButton="0" quotePrefix="0" xfId="7">
      <alignment horizontal="center"/>
    </xf>
    <xf numFmtId="0" fontId="32" fillId="0" borderId="0" applyAlignment="1" pivotButton="0" quotePrefix="0" xfId="5">
      <alignment wrapText="1"/>
    </xf>
    <xf numFmtId="0" fontId="48" fillId="0" borderId="0" applyAlignment="1" pivotButton="0" quotePrefix="0" xfId="5">
      <alignment horizontal="center" vertical="center"/>
    </xf>
    <xf numFmtId="0" fontId="22" fillId="0" borderId="13" applyAlignment="1" pivotButton="0" quotePrefix="0" xfId="5">
      <alignment horizontal="right"/>
    </xf>
    <xf numFmtId="0" fontId="20" fillId="0" borderId="1" applyAlignment="1" pivotButton="0" quotePrefix="0" xfId="5">
      <alignment horizontal="center" vertical="center" wrapText="1"/>
    </xf>
    <xf numFmtId="0" fontId="20" fillId="0" borderId="1" applyAlignment="1" pivotButton="0" quotePrefix="0" xfId="5">
      <alignment horizontal="center" vertical="center"/>
    </xf>
    <xf numFmtId="0" fontId="38" fillId="6" borderId="1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167" fontId="3" fillId="0" borderId="1" pivotButton="0" quotePrefix="0" xfId="5"/>
    <xf numFmtId="0" fontId="0" fillId="0" borderId="13" pivotButton="0" quotePrefix="0" xfId="0"/>
    <xf numFmtId="0" fontId="0" fillId="0" borderId="21" pivotButton="0" quotePrefix="0" xfId="0"/>
  </cellXfs>
  <cellStyles count="10">
    <cellStyle name="Normal" xfId="0" builtinId="0"/>
    <cellStyle name="Normal 2" xfId="1"/>
    <cellStyle name="Currency 2" xfId="2"/>
    <cellStyle name="Normal 3" xfId="3"/>
    <cellStyle name="Normal 4" xfId="4"/>
    <cellStyle name="Normal 5" xfId="5"/>
    <cellStyle name="Comma 2" xfId="6"/>
    <cellStyle name="Normal 4 2" xfId="7"/>
    <cellStyle name="Normal 4 2 2" xfId="8"/>
    <cellStyle name="Normal 5 2" xfId="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Bang_bai3" displayName="Bang_bai3" ref="G3:H10" headerRowCount="1">
  <autoFilter ref="G3:H10"/>
  <tableColumns count="2">
    <tableColumn id="7" name="CƯỚC CHUYÊN CHỞ"/>
    <tableColumn id="8" name="DOANH THU"/>
  </tableColumns>
  <tableStyleInfo name="TableStyleLight7" showRowStripes="1"/>
</table>
</file>

<file path=xl/tables/table2.xml><?xml version="1.0" encoding="utf-8"?>
<table xmlns="http://schemas.openxmlformats.org/spreadsheetml/2006/main" id="2" name="Bang_bai4" displayName="Bang_bai4" ref="A2:H9" headerRowCount="1">
  <autoFilter ref="A2:H9"/>
  <tableColumns count="8">
    <tableColumn id="1" name="STT"/>
    <tableColumn id="2" name="MÃ HÀNG"/>
    <tableColumn id="3" name="THÁNG 1"/>
    <tableColumn id="4" name="THÁNG 2"/>
    <tableColumn id="5" name="THÁNG 3"/>
    <tableColumn id="6" name="THÁNG 4"/>
    <tableColumn id="7" name="THÁNG 5"/>
    <tableColumn id="8" name="THÁNG 6"/>
  </tableColumns>
  <tableStyleInfo name="TableStyleMedium2" showRowStripes="1"/>
</table>
</file>

<file path=xl/tables/table3.xml><?xml version="1.0" encoding="utf-8"?>
<table xmlns="http://schemas.openxmlformats.org/spreadsheetml/2006/main" id="3" name="Bang_bai6" displayName="Bang_bai6" ref="A1:G8" headerRowCount="1">
  <autoFilter ref="A1:G8"/>
  <tableColumns count="7">
    <tableColumn id="1" name="MÃ HÀNG"/>
    <tableColumn id="2" name="TÊN HÀNG"/>
    <tableColumn id="3" name="TÊN HÀNG ĐÚNG"/>
    <tableColumn id="4" name="KÝ TỰ ĐẦU"/>
    <tableColumn id="5" name="KÝ TỰ CUỐI"/>
    <tableColumn id="6" name="KÝ TỰ THỨ 2"/>
    <tableColumn id="7" name="2 KÝ TỰ 3 VÀ 4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A1" sqref="A1"/>
    </sheetView>
  </sheetViews>
  <sheetFormatPr baseColWidth="8" defaultColWidth="14.42578125" defaultRowHeight="15" customHeight="1"/>
  <cols>
    <col width="13.28515625" customWidth="1" style="15" min="1" max="3"/>
    <col width="13.85546875" customWidth="1" style="15" min="4" max="4"/>
    <col width="13.28515625" customWidth="1" style="15" min="5" max="8"/>
    <col width="17" customWidth="1" style="15" min="9" max="9"/>
    <col width="3.5703125" customWidth="1" style="15" min="10" max="10"/>
    <col width="14.42578125" customWidth="1" style="15" min="11" max="16384"/>
  </cols>
  <sheetData>
    <row r="1" ht="15" customHeight="1">
      <c r="A1" s="98" t="inlineStr">
        <is>
          <t>a)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</row>
    <row r="2" ht="15" customHeight="1">
      <c r="A2" s="95" t="inlineStr">
        <is>
          <t>a</t>
        </is>
      </c>
      <c r="B2" s="95" t="inlineStr">
        <is>
          <t>b</t>
        </is>
      </c>
      <c r="C2" s="95" t="inlineStr">
        <is>
          <t>a&gt;b</t>
        </is>
      </c>
      <c r="D2" s="95" t="inlineStr">
        <is>
          <t>a&lt;b</t>
        </is>
      </c>
      <c r="E2" s="95" t="inlineStr">
        <is>
          <t>a&gt;=b</t>
        </is>
      </c>
      <c r="F2" s="95" t="inlineStr">
        <is>
          <t>a&lt;=b</t>
        </is>
      </c>
      <c r="G2" s="96" t="inlineStr">
        <is>
          <t>a=b</t>
        </is>
      </c>
      <c r="H2" s="96" t="inlineStr">
        <is>
          <t>a&lt;&gt;b</t>
        </is>
      </c>
      <c r="I2" s="41" t="n"/>
    </row>
    <row r="3" ht="15" customHeight="1">
      <c r="A3" s="43" t="n">
        <v>47</v>
      </c>
      <c r="B3" s="43" t="n">
        <v>23</v>
      </c>
      <c r="C3" s="44" t="b">
        <f>A3&gt;B3</f>
        <v>1</v>
      </c>
      <c r="D3" s="44" t="b">
        <f>A3&lt;B3</f>
        <v>0</v>
      </c>
      <c r="E3" s="44" t="b">
        <f>A3&gt;=B3</f>
        <v>1</v>
      </c>
      <c r="F3" s="44" t="b">
        <f>A3&lt;=B3</f>
        <v>0</v>
      </c>
      <c r="G3" s="74" t="b">
        <f>A3=B3</f>
        <v>0</v>
      </c>
      <c r="H3" s="74" t="b">
        <f>A3&lt;&gt;B3</f>
        <v>1</v>
      </c>
      <c r="I3" s="41" t="n"/>
    </row>
    <row r="4" ht="15" customHeight="1">
      <c r="A4" s="43" t="n">
        <v>58</v>
      </c>
      <c r="B4" s="43" t="n">
        <v>58</v>
      </c>
      <c r="C4" s="44" t="b">
        <f>A4&gt;B4</f>
        <v>0</v>
      </c>
      <c r="D4" s="44" t="b">
        <f>A4&lt;B4</f>
        <v>0</v>
      </c>
      <c r="E4" s="44" t="b">
        <f>A4&gt;=B4</f>
        <v>1</v>
      </c>
      <c r="F4" s="44" t="b">
        <f>A4&lt;=B4</f>
        <v>1</v>
      </c>
      <c r="G4" s="74" t="b">
        <f>A4=B4</f>
        <v>1</v>
      </c>
      <c r="H4" s="74" t="b">
        <f>A4&lt;&gt;B4</f>
        <v>0</v>
      </c>
      <c r="I4" s="41" t="n"/>
    </row>
    <row r="5" ht="15" customHeight="1">
      <c r="A5" s="43" t="n">
        <v>12</v>
      </c>
      <c r="B5" s="43" t="n">
        <v>49</v>
      </c>
      <c r="C5" s="44" t="b">
        <f>A5&gt;B5</f>
        <v>0</v>
      </c>
      <c r="D5" s="44" t="b">
        <f>A5&lt;B5</f>
        <v>1</v>
      </c>
      <c r="E5" s="44" t="b">
        <f>A5&gt;=B5</f>
        <v>0</v>
      </c>
      <c r="F5" s="44" t="b">
        <f>A5&lt;=B5</f>
        <v>1</v>
      </c>
      <c r="G5" s="74" t="b">
        <f>A5=B5</f>
        <v>0</v>
      </c>
      <c r="H5" s="74" t="b">
        <f>A5&lt;&gt;B5</f>
        <v>1</v>
      </c>
      <c r="I5" s="41" t="n"/>
    </row>
    <row r="6" ht="15" customHeight="1">
      <c r="A6" s="43" t="n">
        <v>35</v>
      </c>
      <c r="B6" s="43" t="n">
        <v>75</v>
      </c>
      <c r="C6" s="44" t="b">
        <f>A6&gt;B6</f>
        <v>0</v>
      </c>
      <c r="D6" s="44" t="b">
        <f>A6&lt;B6</f>
        <v>1</v>
      </c>
      <c r="E6" s="44" t="b">
        <f>A6&gt;=B6</f>
        <v>0</v>
      </c>
      <c r="F6" s="44" t="b">
        <f>A6&lt;=B6</f>
        <v>1</v>
      </c>
      <c r="G6" s="74" t="b">
        <f>A6=B6</f>
        <v>0</v>
      </c>
      <c r="H6" s="74" t="b">
        <f>A6&lt;&gt;B6</f>
        <v>1</v>
      </c>
      <c r="I6" s="41" t="n"/>
    </row>
    <row r="7" ht="15" customHeight="1">
      <c r="A7" s="98" t="inlineStr">
        <is>
          <t>b)</t>
        </is>
      </c>
      <c r="B7" s="41" t="n"/>
      <c r="C7" s="41" t="n"/>
      <c r="D7" s="41" t="n"/>
      <c r="E7" s="41" t="n"/>
      <c r="F7" s="41" t="n"/>
      <c r="G7" s="41" t="n"/>
      <c r="H7" s="41" t="n"/>
      <c r="I7" s="41" t="n"/>
    </row>
    <row r="8" ht="15" customHeight="1">
      <c r="A8" s="160" t="inlineStr">
        <is>
          <t>GIÁ TRỊ</t>
        </is>
      </c>
      <c r="B8" s="161" t="n"/>
      <c r="C8" s="162" t="n"/>
      <c r="D8" s="160" t="inlineStr">
        <is>
          <t>TÍNH</t>
        </is>
      </c>
      <c r="E8" s="161" t="n"/>
      <c r="F8" s="161" t="n"/>
      <c r="G8" s="162" t="n"/>
      <c r="H8" s="15" t="n"/>
      <c r="I8" s="15" t="n"/>
    </row>
    <row r="9" ht="21" customHeight="1">
      <c r="A9" s="95" t="inlineStr">
        <is>
          <t>A</t>
        </is>
      </c>
      <c r="B9" s="95" t="inlineStr">
        <is>
          <t>B</t>
        </is>
      </c>
      <c r="C9" s="95" t="inlineStr">
        <is>
          <t>C</t>
        </is>
      </c>
      <c r="D9" s="97" t="inlineStr">
        <is>
          <t>D = B2 - 4AC</t>
        </is>
      </c>
      <c r="E9" s="95" t="inlineStr">
        <is>
          <t>SQRT(D)</t>
        </is>
      </c>
      <c r="F9" s="95" t="inlineStr">
        <is>
          <t>X1</t>
        </is>
      </c>
      <c r="G9" s="95" t="inlineStr">
        <is>
          <t>X2</t>
        </is>
      </c>
      <c r="H9" s="15" t="n"/>
      <c r="I9" s="15" t="n"/>
    </row>
    <row r="10" ht="15" customHeight="1">
      <c r="A10" s="45" t="n">
        <v>1</v>
      </c>
      <c r="B10" s="45" t="n">
        <v>-9</v>
      </c>
      <c r="C10" s="45" t="n">
        <v>1</v>
      </c>
      <c r="D10" s="44">
        <f>B10^2-4*A10*C10</f>
        <v>77</v>
      </c>
      <c r="E10" s="44">
        <f>SQRT(D10)</f>
        <v>8.77496438739212</v>
      </c>
      <c r="F10" s="44">
        <f>(-B10+E10)/(2*A10)</f>
        <v>8.88748219369606</v>
      </c>
      <c r="G10" s="44">
        <f>(-B10-E10)/(2*A10)</f>
        <v>0.112517806303939</v>
      </c>
      <c r="H10" s="15" t="n"/>
      <c r="I10" s="15" t="n"/>
    </row>
    <row r="11" ht="15" customHeight="1">
      <c r="A11" s="45" t="n">
        <v>2</v>
      </c>
      <c r="B11" s="45" t="n">
        <v>-7</v>
      </c>
      <c r="C11" s="45" t="n">
        <v>2.5</v>
      </c>
      <c r="D11" s="44">
        <f>B11^2-4*A11*C11</f>
        <v>29</v>
      </c>
      <c r="E11" s="44">
        <f>SQRT(D11)</f>
        <v>5.3851648071345</v>
      </c>
      <c r="F11" s="44">
        <f>(-B11+E11)/(2*A11)</f>
        <v>3.09629120178363</v>
      </c>
      <c r="G11" s="44">
        <f>(-B11-E11)/(2*A11)</f>
        <v>0.403708798216374</v>
      </c>
      <c r="H11" s="15" t="n"/>
      <c r="I11" s="15" t="n"/>
    </row>
    <row r="12" ht="15" customHeight="1">
      <c r="A12" s="45" t="n">
        <v>3</v>
      </c>
      <c r="B12" s="45" t="n">
        <v>7</v>
      </c>
      <c r="C12" s="45" t="n">
        <v>4</v>
      </c>
      <c r="D12" s="44">
        <f>B12^2-4*A12*C12</f>
        <v>1</v>
      </c>
      <c r="E12" s="44">
        <f>SQRT(D12)</f>
        <v>1</v>
      </c>
      <c r="F12" s="44">
        <f>(-B12+E12)/(2*A12)</f>
        <v>-1</v>
      </c>
      <c r="G12" s="44">
        <f>(-B12-E12)/(2*A12)</f>
        <v>-1.33333333333333</v>
      </c>
      <c r="H12" s="15" t="n"/>
      <c r="I12" s="15" t="n"/>
    </row>
    <row r="13" ht="15" customHeight="1">
      <c r="A13" s="45" t="n">
        <v>4</v>
      </c>
      <c r="B13" s="45" t="n">
        <v>12</v>
      </c>
      <c r="C13" s="45" t="n">
        <v>5.5</v>
      </c>
      <c r="D13" s="44">
        <f>B13^2-4*A13*C13</f>
        <v>56</v>
      </c>
      <c r="E13" s="44">
        <f>SQRT(D13)</f>
        <v>7.48331477354788</v>
      </c>
      <c r="F13" s="44">
        <f>(-B13+E13)/(2*A13)</f>
        <v>-0.564585653306515</v>
      </c>
      <c r="G13" s="44">
        <f>(-B13-E13)/(2*A13)</f>
        <v>-2.43541434669349</v>
      </c>
      <c r="H13" s="15" t="n"/>
      <c r="I13" s="15" t="n"/>
    </row>
    <row r="14" ht="15" customHeight="1">
      <c r="A14" s="45" t="n">
        <v>1</v>
      </c>
      <c r="B14" s="45" t="n">
        <v>14</v>
      </c>
      <c r="C14" s="45" t="n">
        <v>7</v>
      </c>
      <c r="D14" s="44">
        <f>B14^2-4*A14*C14</f>
        <v>168</v>
      </c>
      <c r="E14" s="44">
        <f>SQRT(D14)</f>
        <v>12.9614813968157</v>
      </c>
      <c r="F14" s="44">
        <f>(-B14+E14)/(2*A14)</f>
        <v>-0.51925930159214</v>
      </c>
      <c r="G14" s="44">
        <f>(-B14-E14)/(2*A14)</f>
        <v>-13.4807406984079</v>
      </c>
      <c r="H14" s="15" t="n"/>
      <c r="I14" s="15" t="n"/>
    </row>
    <row r="15" ht="15" customHeight="1">
      <c r="A15" s="45" t="n">
        <v>2</v>
      </c>
      <c r="B15" s="45" t="n">
        <v>22</v>
      </c>
      <c r="C15" s="45" t="n">
        <v>8.5</v>
      </c>
      <c r="D15" s="44">
        <f>B15^2-4*A15*C15</f>
        <v>416</v>
      </c>
      <c r="E15" s="44">
        <f>SQRT(D15)</f>
        <v>20.3960780543711</v>
      </c>
      <c r="F15" s="44">
        <f>(-B15+E15)/(2*A15)</f>
        <v>-0.400980486407216</v>
      </c>
      <c r="G15" s="44">
        <f>(-B15-E15)/(2*A15)</f>
        <v>-10.5990195135928</v>
      </c>
      <c r="H15" s="15" t="n"/>
      <c r="I15" s="15" t="n"/>
    </row>
    <row r="16" ht="15" customHeight="1">
      <c r="A16" s="45" t="n">
        <v>3</v>
      </c>
      <c r="B16" s="45" t="n">
        <v>20</v>
      </c>
      <c r="C16" s="45" t="n">
        <v>10</v>
      </c>
      <c r="D16" s="44">
        <f>B16^2-4*A16*C16</f>
        <v>280</v>
      </c>
      <c r="E16" s="44">
        <f>SQRT(D16)</f>
        <v>16.7332005306815</v>
      </c>
      <c r="F16" s="44">
        <f>(-B16+E16)/(2*A16)</f>
        <v>-0.544466578219748</v>
      </c>
      <c r="G16" s="44">
        <f>(-B16-E16)/(2*A16)</f>
        <v>-6.12220008844692</v>
      </c>
      <c r="H16" s="15" t="n"/>
      <c r="I16" s="15" t="n"/>
    </row>
    <row r="17" ht="15" customHeight="1">
      <c r="A17" s="45" t="n">
        <v>4</v>
      </c>
      <c r="B17" s="45" t="n">
        <v>19</v>
      </c>
      <c r="C17" s="45" t="n">
        <v>11.5</v>
      </c>
      <c r="D17" s="44">
        <f>B17^2-4*A17*C17</f>
        <v>177</v>
      </c>
      <c r="E17" s="44">
        <f>SQRT(D17)</f>
        <v>13.3041346956501</v>
      </c>
      <c r="F17" s="44">
        <f>(-B17+E17)/(2*A17)</f>
        <v>-0.711983163043741</v>
      </c>
      <c r="G17" s="44">
        <f>(-B17-E17)/(2*A17)</f>
        <v>-4.03801683695626</v>
      </c>
      <c r="H17" s="15" t="n"/>
      <c r="I17" s="15" t="n"/>
    </row>
    <row r="19" ht="16.5" customHeight="1"/>
    <row r="20" ht="16.5" customHeight="1"/>
  </sheetData>
  <mergeCells count="2">
    <mergeCell ref="D8:G8"/>
    <mergeCell ref="A8:C8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tabSelected="0" workbookViewId="0">
      <selection activeCell="A1" sqref="A1:K12"/>
    </sheetView>
  </sheetViews>
  <sheetFormatPr baseColWidth="8" defaultRowHeight="16.5"/>
  <cols>
    <col width="6" customWidth="1" style="15" min="1" max="1"/>
    <col width="9" customWidth="1" style="15" min="2" max="11"/>
    <col width="9.140625" customWidth="1" style="15" min="12" max="16384"/>
  </cols>
  <sheetData>
    <row r="1" ht="30" customHeight="1">
      <c r="A1" s="99" t="inlineStr">
        <is>
          <t>BẢNG CỬU CHƯƠNG</t>
        </is>
      </c>
      <c r="B1" s="99" t="n"/>
      <c r="C1" s="99" t="n"/>
      <c r="D1" s="99" t="n"/>
      <c r="E1" s="99" t="n"/>
      <c r="F1" s="99" t="n"/>
      <c r="G1" s="99" t="n"/>
      <c r="H1" s="99" t="n"/>
      <c r="I1" s="99" t="n"/>
      <c r="J1" s="34" t="n"/>
      <c r="K1" s="34" t="n"/>
      <c r="N1" s="63" t="n"/>
      <c r="O1" s="63" t="n"/>
    </row>
    <row r="2">
      <c r="A2" s="35" t="n"/>
      <c r="B2" s="36" t="n">
        <v>1</v>
      </c>
      <c r="C2" s="36" t="n">
        <v>2</v>
      </c>
      <c r="D2" s="36" t="n">
        <v>3</v>
      </c>
      <c r="E2" s="36" t="n">
        <v>4</v>
      </c>
      <c r="F2" s="36" t="n">
        <v>5</v>
      </c>
      <c r="G2" s="36" t="n">
        <v>6</v>
      </c>
      <c r="H2" s="36" t="n">
        <v>7</v>
      </c>
      <c r="I2" s="36" t="n">
        <v>8</v>
      </c>
      <c r="J2" s="36" t="n">
        <v>9</v>
      </c>
      <c r="K2" s="36" t="n">
        <v>10</v>
      </c>
      <c r="N2" s="63" t="n"/>
      <c r="O2" s="63" t="n"/>
    </row>
    <row r="3">
      <c r="A3" s="36" t="n">
        <v>1</v>
      </c>
      <c r="B3" s="37">
        <f>$A3*B$2</f>
        <v>1</v>
      </c>
      <c r="C3" s="37">
        <f>$A3*C$2</f>
        <v>2</v>
      </c>
      <c r="D3" s="37">
        <f>$A3*D$2</f>
        <v>3</v>
      </c>
      <c r="E3" s="37">
        <f>$A3*E$2</f>
        <v>4</v>
      </c>
      <c r="F3" s="37">
        <f>$A3*F$2</f>
        <v>5</v>
      </c>
      <c r="G3" s="37">
        <f>$A3*G$2</f>
        <v>6</v>
      </c>
      <c r="H3" s="37">
        <f>$A3*H$2</f>
        <v>7</v>
      </c>
      <c r="I3" s="37">
        <f>$A3*I$2</f>
        <v>8</v>
      </c>
      <c r="J3" s="37">
        <f>$A3*J$2</f>
        <v>9</v>
      </c>
      <c r="K3" s="37">
        <f>$A3*K$2</f>
        <v>10</v>
      </c>
      <c r="N3" s="63" t="n"/>
      <c r="O3" s="63" t="n"/>
    </row>
    <row r="4">
      <c r="A4" s="36" t="n">
        <v>2</v>
      </c>
      <c r="B4" s="37">
        <f>$A4*B$2</f>
        <v>2</v>
      </c>
      <c r="C4" s="37">
        <f>$A4*C$2</f>
        <v>4</v>
      </c>
      <c r="D4" s="37">
        <f>$A4*D$2</f>
        <v>6</v>
      </c>
      <c r="E4" s="37">
        <f>$A4*E$2</f>
        <v>8</v>
      </c>
      <c r="F4" s="37">
        <f>$A4*F$2</f>
        <v>10</v>
      </c>
      <c r="G4" s="37">
        <f>$A4*G$2</f>
        <v>12</v>
      </c>
      <c r="H4" s="37">
        <f>$A4*H$2</f>
        <v>14</v>
      </c>
      <c r="I4" s="37">
        <f>$A4*I$2</f>
        <v>16</v>
      </c>
      <c r="J4" s="37">
        <f>$A4*J$2</f>
        <v>18</v>
      </c>
      <c r="K4" s="37">
        <f>$A4*K$2</f>
        <v>20</v>
      </c>
      <c r="N4" s="63" t="n"/>
      <c r="O4" s="63" t="n"/>
    </row>
    <row r="5">
      <c r="A5" s="36" t="n">
        <v>3</v>
      </c>
      <c r="B5" s="37">
        <f>$A5*B$2</f>
        <v>3</v>
      </c>
      <c r="C5" s="37">
        <f>$A5*C$2</f>
        <v>6</v>
      </c>
      <c r="D5" s="37">
        <f>$A5*D$2</f>
        <v>9</v>
      </c>
      <c r="E5" s="37">
        <f>$A5*E$2</f>
        <v>12</v>
      </c>
      <c r="F5" s="37">
        <f>$A5*F$2</f>
        <v>15</v>
      </c>
      <c r="G5" s="37">
        <f>$A5*G$2</f>
        <v>18</v>
      </c>
      <c r="H5" s="37">
        <f>$A5*H$2</f>
        <v>21</v>
      </c>
      <c r="I5" s="37">
        <f>$A5*I$2</f>
        <v>24</v>
      </c>
      <c r="J5" s="37">
        <f>$A5*J$2</f>
        <v>27</v>
      </c>
      <c r="K5" s="37">
        <f>$A5*K$2</f>
        <v>30</v>
      </c>
    </row>
    <row r="6">
      <c r="A6" s="36" t="n">
        <v>4</v>
      </c>
      <c r="B6" s="37">
        <f>$A6*B$2</f>
        <v>4</v>
      </c>
      <c r="C6" s="37">
        <f>$A6*C$2</f>
        <v>8</v>
      </c>
      <c r="D6" s="37">
        <f>$A6*D$2</f>
        <v>12</v>
      </c>
      <c r="E6" s="37">
        <f>$A6*E$2</f>
        <v>16</v>
      </c>
      <c r="F6" s="37">
        <f>$A6*F$2</f>
        <v>20</v>
      </c>
      <c r="G6" s="37">
        <f>$A6*G$2</f>
        <v>24</v>
      </c>
      <c r="H6" s="37">
        <f>$A6*H$2</f>
        <v>28</v>
      </c>
      <c r="I6" s="37">
        <f>$A6*I$2</f>
        <v>32</v>
      </c>
      <c r="J6" s="37">
        <f>$A6*J$2</f>
        <v>36</v>
      </c>
      <c r="K6" s="37">
        <f>$A6*K$2</f>
        <v>40</v>
      </c>
    </row>
    <row r="7">
      <c r="A7" s="36" t="n">
        <v>5</v>
      </c>
      <c r="B7" s="37">
        <f>$A7*B$2</f>
        <v>5</v>
      </c>
      <c r="C7" s="37">
        <f>$A7*C$2</f>
        <v>10</v>
      </c>
      <c r="D7" s="37">
        <f>$A7*D$2</f>
        <v>15</v>
      </c>
      <c r="E7" s="37">
        <f>$A7*E$2</f>
        <v>20</v>
      </c>
      <c r="F7" s="37">
        <f>$A7*F$2</f>
        <v>25</v>
      </c>
      <c r="G7" s="37">
        <f>$A7*G$2</f>
        <v>30</v>
      </c>
      <c r="H7" s="37">
        <f>$A7*H$2</f>
        <v>35</v>
      </c>
      <c r="I7" s="37">
        <f>$A7*I$2</f>
        <v>40</v>
      </c>
      <c r="J7" s="37">
        <f>$A7*J$2</f>
        <v>45</v>
      </c>
      <c r="K7" s="37">
        <f>$A7*K$2</f>
        <v>50</v>
      </c>
    </row>
    <row r="8">
      <c r="A8" s="36" t="n">
        <v>6</v>
      </c>
      <c r="B8" s="37">
        <f>$A8*B$2</f>
        <v>6</v>
      </c>
      <c r="C8" s="37">
        <f>$A8*C$2</f>
        <v>12</v>
      </c>
      <c r="D8" s="37">
        <f>$A8*D$2</f>
        <v>18</v>
      </c>
      <c r="E8" s="37">
        <f>$A8*E$2</f>
        <v>24</v>
      </c>
      <c r="F8" s="37">
        <f>$A8*F$2</f>
        <v>30</v>
      </c>
      <c r="G8" s="37">
        <f>$A8*G$2</f>
        <v>36</v>
      </c>
      <c r="H8" s="37">
        <f>$A8*H$2</f>
        <v>42</v>
      </c>
      <c r="I8" s="37">
        <f>$A8*I$2</f>
        <v>48</v>
      </c>
      <c r="J8" s="37">
        <f>$A8*J$2</f>
        <v>54</v>
      </c>
      <c r="K8" s="37">
        <f>$A8*K$2</f>
        <v>60</v>
      </c>
    </row>
    <row r="9">
      <c r="A9" s="36" t="n">
        <v>7</v>
      </c>
      <c r="B9" s="37">
        <f>$A9*B$2</f>
        <v>7</v>
      </c>
      <c r="C9" s="37">
        <f>$A9*C$2</f>
        <v>14</v>
      </c>
      <c r="D9" s="37">
        <f>$A9*D$2</f>
        <v>21</v>
      </c>
      <c r="E9" s="37">
        <f>$A9*E$2</f>
        <v>28</v>
      </c>
      <c r="F9" s="37">
        <f>$A9*F$2</f>
        <v>35</v>
      </c>
      <c r="G9" s="37">
        <f>$A9*G$2</f>
        <v>42</v>
      </c>
      <c r="H9" s="37">
        <f>$A9*H$2</f>
        <v>49</v>
      </c>
      <c r="I9" s="37">
        <f>$A9*I$2</f>
        <v>56</v>
      </c>
      <c r="J9" s="37">
        <f>$A9*J$2</f>
        <v>63</v>
      </c>
      <c r="K9" s="37">
        <f>$A9*K$2</f>
        <v>70</v>
      </c>
    </row>
    <row r="10">
      <c r="A10" s="36" t="n">
        <v>8</v>
      </c>
      <c r="B10" s="37">
        <f>$A10*B$2</f>
        <v>8</v>
      </c>
      <c r="C10" s="37">
        <f>$A10*C$2</f>
        <v>16</v>
      </c>
      <c r="D10" s="37">
        <f>$A10*D$2</f>
        <v>24</v>
      </c>
      <c r="E10" s="37">
        <f>$A10*E$2</f>
        <v>32</v>
      </c>
      <c r="F10" s="37">
        <f>$A10*F$2</f>
        <v>40</v>
      </c>
      <c r="G10" s="37">
        <f>$A10*G$2</f>
        <v>48</v>
      </c>
      <c r="H10" s="37">
        <f>$A10*H$2</f>
        <v>56</v>
      </c>
      <c r="I10" s="37">
        <f>$A10*I$2</f>
        <v>64</v>
      </c>
      <c r="J10" s="37">
        <f>$A10*J$2</f>
        <v>72</v>
      </c>
      <c r="K10" s="37">
        <f>$A10*K$2</f>
        <v>80</v>
      </c>
    </row>
    <row r="11">
      <c r="A11" s="36" t="n">
        <v>9</v>
      </c>
      <c r="B11" s="37">
        <f>$A11*B$2</f>
        <v>9</v>
      </c>
      <c r="C11" s="37">
        <f>$A11*C$2</f>
        <v>18</v>
      </c>
      <c r="D11" s="37">
        <f>$A11*D$2</f>
        <v>27</v>
      </c>
      <c r="E11" s="37">
        <f>$A11*E$2</f>
        <v>36</v>
      </c>
      <c r="F11" s="37">
        <f>$A11*F$2</f>
        <v>45</v>
      </c>
      <c r="G11" s="37">
        <f>$A11*G$2</f>
        <v>54</v>
      </c>
      <c r="H11" s="37">
        <f>$A11*H$2</f>
        <v>63</v>
      </c>
      <c r="I11" s="37">
        <f>$A11*I$2</f>
        <v>72</v>
      </c>
      <c r="J11" s="37">
        <f>$A11*J$2</f>
        <v>81</v>
      </c>
      <c r="K11" s="37">
        <f>$A11*K$2</f>
        <v>90</v>
      </c>
    </row>
    <row r="12">
      <c r="A12" s="36" t="n">
        <v>10</v>
      </c>
      <c r="B12" s="37">
        <f>$A12*B$2</f>
        <v>10</v>
      </c>
      <c r="C12" s="37">
        <f>$A12*C$2</f>
        <v>20</v>
      </c>
      <c r="D12" s="37">
        <f>$A12*D$2</f>
        <v>30</v>
      </c>
      <c r="E12" s="37">
        <f>$A12*E$2</f>
        <v>40</v>
      </c>
      <c r="F12" s="37">
        <f>$A12*F$2</f>
        <v>50</v>
      </c>
      <c r="G12" s="37">
        <f>$A12*G$2</f>
        <v>60</v>
      </c>
      <c r="H12" s="37">
        <f>$A12*H$2</f>
        <v>70</v>
      </c>
      <c r="I12" s="37">
        <f>$A12*I$2</f>
        <v>80</v>
      </c>
      <c r="J12" s="37">
        <f>$A12*J$2</f>
        <v>90</v>
      </c>
      <c r="K12" s="37">
        <f>$A12*K$2</f>
        <v>100</v>
      </c>
    </row>
    <row r="15" ht="30" customHeight="1">
      <c r="A15" s="99" t="inlineStr">
        <is>
          <t>BẢNG CỬU CHƯƠNG</t>
        </is>
      </c>
      <c r="B15" s="99" t="n"/>
      <c r="C15" s="99" t="n"/>
      <c r="D15" s="99" t="n"/>
      <c r="E15" s="99" t="n"/>
      <c r="F15" s="99" t="n"/>
      <c r="G15" s="99" t="n"/>
      <c r="H15" s="99" t="n"/>
      <c r="I15" s="99" t="n"/>
      <c r="J15" s="34" t="n"/>
      <c r="K15" s="34" t="n"/>
    </row>
    <row r="16">
      <c r="A16" s="35" t="n"/>
      <c r="B16" s="36" t="n">
        <v>1</v>
      </c>
      <c r="C16" s="36" t="n">
        <v>2</v>
      </c>
      <c r="D16" s="36" t="n">
        <v>3</v>
      </c>
      <c r="E16" s="36" t="n">
        <v>4</v>
      </c>
      <c r="F16" s="36" t="n">
        <v>5</v>
      </c>
      <c r="G16" s="36" t="n">
        <v>6</v>
      </c>
      <c r="H16" s="36" t="n">
        <v>7</v>
      </c>
      <c r="I16" s="36" t="n">
        <v>8</v>
      </c>
      <c r="J16" s="36" t="n">
        <v>9</v>
      </c>
      <c r="K16" s="36" t="n">
        <v>10</v>
      </c>
    </row>
    <row r="17">
      <c r="A17" s="36" t="n">
        <v>1</v>
      </c>
      <c r="B17" s="37">
        <f>DONG_1*COT_1</f>
        <v>1</v>
      </c>
      <c r="C17" s="37">
        <f>DONG_1*COT_1</f>
        <v>2</v>
      </c>
      <c r="D17" s="37">
        <f>DONG_1*COT_1</f>
        <v>3</v>
      </c>
      <c r="E17" s="37">
        <f>DONG_1*COT_1</f>
        <v>4</v>
      </c>
      <c r="F17" s="37">
        <f>DONG_1*COT_1</f>
        <v>5</v>
      </c>
      <c r="G17" s="37">
        <f>DONG_1*COT_1</f>
        <v>6</v>
      </c>
      <c r="H17" s="37">
        <f>DONG_1*COT_1</f>
        <v>7</v>
      </c>
      <c r="I17" s="37">
        <f>DONG_1*COT_1</f>
        <v>8</v>
      </c>
      <c r="J17" s="37">
        <f>DONG_1*COT_1</f>
        <v>9</v>
      </c>
      <c r="K17" s="37">
        <f>DONG_1*COT_1</f>
        <v>10</v>
      </c>
    </row>
    <row r="18">
      <c r="A18" s="36" t="n">
        <v>2</v>
      </c>
      <c r="B18" s="37">
        <f>DONG_1*COT_1</f>
        <v>2</v>
      </c>
      <c r="C18" s="37">
        <f>DONG_1*COT_1</f>
        <v>4</v>
      </c>
      <c r="D18" s="37">
        <f>DONG_1*COT_1</f>
        <v>6</v>
      </c>
      <c r="E18" s="37">
        <f>DONG_1*COT_1</f>
        <v>8</v>
      </c>
      <c r="F18" s="37">
        <f>DONG_1*COT_1</f>
        <v>10</v>
      </c>
      <c r="G18" s="37">
        <f>DONG_1*COT_1</f>
        <v>12</v>
      </c>
      <c r="H18" s="37">
        <f>DONG_1*COT_1</f>
        <v>14</v>
      </c>
      <c r="I18" s="37">
        <f>DONG_1*COT_1</f>
        <v>16</v>
      </c>
      <c r="J18" s="37">
        <f>DONG_1*COT_1</f>
        <v>18</v>
      </c>
      <c r="K18" s="37">
        <f>DONG_1*COT_1</f>
        <v>20</v>
      </c>
    </row>
    <row r="19">
      <c r="A19" s="36" t="n">
        <v>3</v>
      </c>
      <c r="B19" s="37">
        <f>DONG_1*COT_1</f>
        <v>3</v>
      </c>
      <c r="C19" s="37">
        <f>DONG_1*COT_1</f>
        <v>6</v>
      </c>
      <c r="D19" s="37">
        <f>DONG_1*COT_1</f>
        <v>9</v>
      </c>
      <c r="E19" s="37">
        <f>DONG_1*COT_1</f>
        <v>12</v>
      </c>
      <c r="F19" s="37">
        <f>DONG_1*COT_1</f>
        <v>15</v>
      </c>
      <c r="G19" s="37">
        <f>DONG_1*COT_1</f>
        <v>18</v>
      </c>
      <c r="H19" s="37">
        <f>DONG_1*COT_1</f>
        <v>21</v>
      </c>
      <c r="I19" s="37">
        <f>DONG_1*COT_1</f>
        <v>24</v>
      </c>
      <c r="J19" s="37">
        <f>DONG_1*COT_1</f>
        <v>27</v>
      </c>
      <c r="K19" s="37">
        <f>DONG_1*COT_1</f>
        <v>30</v>
      </c>
    </row>
    <row r="20">
      <c r="A20" s="36" t="n">
        <v>4</v>
      </c>
      <c r="B20" s="37">
        <f>DONG_1*COT_1</f>
        <v>4</v>
      </c>
      <c r="C20" s="37">
        <f>DONG_1*COT_1</f>
        <v>8</v>
      </c>
      <c r="D20" s="37">
        <f>DONG_1*COT_1</f>
        <v>12</v>
      </c>
      <c r="E20" s="37">
        <f>DONG_1*COT_1</f>
        <v>16</v>
      </c>
      <c r="F20" s="37">
        <f>DONG_1*COT_1</f>
        <v>20</v>
      </c>
      <c r="G20" s="37">
        <f>DONG_1*COT_1</f>
        <v>24</v>
      </c>
      <c r="H20" s="37">
        <f>DONG_1*COT_1</f>
        <v>28</v>
      </c>
      <c r="I20" s="37">
        <f>DONG_1*COT_1</f>
        <v>32</v>
      </c>
      <c r="J20" s="37">
        <f>DONG_1*COT_1</f>
        <v>36</v>
      </c>
      <c r="K20" s="37">
        <f>DONG_1*COT_1</f>
        <v>40</v>
      </c>
    </row>
    <row r="21">
      <c r="A21" s="36" t="n">
        <v>5</v>
      </c>
      <c r="B21" s="37">
        <f>DONG_1*COT_1</f>
        <v>5</v>
      </c>
      <c r="C21" s="37">
        <f>DONG_1*COT_1</f>
        <v>10</v>
      </c>
      <c r="D21" s="37">
        <f>DONG_1*COT_1</f>
        <v>15</v>
      </c>
      <c r="E21" s="37">
        <f>DONG_1*COT_1</f>
        <v>20</v>
      </c>
      <c r="F21" s="37">
        <f>DONG_1*COT_1</f>
        <v>25</v>
      </c>
      <c r="G21" s="37">
        <f>DONG_1*COT_1</f>
        <v>30</v>
      </c>
      <c r="H21" s="37">
        <f>DONG_1*COT_1</f>
        <v>35</v>
      </c>
      <c r="I21" s="37">
        <f>DONG_1*COT_1</f>
        <v>40</v>
      </c>
      <c r="J21" s="37">
        <f>DONG_1*COT_1</f>
        <v>45</v>
      </c>
      <c r="K21" s="37">
        <f>DONG_1*COT_1</f>
        <v>50</v>
      </c>
    </row>
    <row r="22">
      <c r="A22" s="36" t="n">
        <v>6</v>
      </c>
      <c r="B22" s="37">
        <f>DONG_1*COT_1</f>
        <v>6</v>
      </c>
      <c r="C22" s="37">
        <f>DONG_1*COT_1</f>
        <v>12</v>
      </c>
      <c r="D22" s="37">
        <f>DONG_1*COT_1</f>
        <v>18</v>
      </c>
      <c r="E22" s="37">
        <f>DONG_1*COT_1</f>
        <v>24</v>
      </c>
      <c r="F22" s="37">
        <f>DONG_1*COT_1</f>
        <v>30</v>
      </c>
      <c r="G22" s="37">
        <f>DONG_1*COT_1</f>
        <v>36</v>
      </c>
      <c r="H22" s="37">
        <f>DONG_1*COT_1</f>
        <v>42</v>
      </c>
      <c r="I22" s="37">
        <f>DONG_1*COT_1</f>
        <v>48</v>
      </c>
      <c r="J22" s="37">
        <f>DONG_1*COT_1</f>
        <v>54</v>
      </c>
      <c r="K22" s="37">
        <f>DONG_1*COT_1</f>
        <v>60</v>
      </c>
    </row>
    <row r="23">
      <c r="A23" s="36" t="n">
        <v>7</v>
      </c>
      <c r="B23" s="37">
        <f>DONG_1*COT_1</f>
        <v>7</v>
      </c>
      <c r="C23" s="37">
        <f>DONG_1*COT_1</f>
        <v>14</v>
      </c>
      <c r="D23" s="37">
        <f>DONG_1*COT_1</f>
        <v>21</v>
      </c>
      <c r="E23" s="37">
        <f>DONG_1*COT_1</f>
        <v>28</v>
      </c>
      <c r="F23" s="37">
        <f>DONG_1*COT_1</f>
        <v>35</v>
      </c>
      <c r="G23" s="37">
        <f>DONG_1*COT_1</f>
        <v>42</v>
      </c>
      <c r="H23" s="37">
        <f>DONG_1*COT_1</f>
        <v>49</v>
      </c>
      <c r="I23" s="37">
        <f>DONG_1*COT_1</f>
        <v>56</v>
      </c>
      <c r="J23" s="37">
        <f>DONG_1*COT_1</f>
        <v>63</v>
      </c>
      <c r="K23" s="37">
        <f>DONG_1*COT_1</f>
        <v>70</v>
      </c>
    </row>
    <row r="24">
      <c r="A24" s="36" t="n">
        <v>8</v>
      </c>
      <c r="B24" s="37">
        <f>DONG_1*COT_1</f>
        <v>8</v>
      </c>
      <c r="C24" s="37">
        <f>DONG_1*COT_1</f>
        <v>16</v>
      </c>
      <c r="D24" s="37">
        <f>DONG_1*COT_1</f>
        <v>24</v>
      </c>
      <c r="E24" s="37">
        <f>DONG_1*COT_1</f>
        <v>32</v>
      </c>
      <c r="F24" s="37">
        <f>DONG_1*COT_1</f>
        <v>40</v>
      </c>
      <c r="G24" s="37">
        <f>DONG_1*COT_1</f>
        <v>48</v>
      </c>
      <c r="H24" s="37">
        <f>DONG_1*COT_1</f>
        <v>56</v>
      </c>
      <c r="I24" s="37">
        <f>DONG_1*COT_1</f>
        <v>64</v>
      </c>
      <c r="J24" s="37">
        <f>DONG_1*COT_1</f>
        <v>72</v>
      </c>
      <c r="K24" s="37">
        <f>DONG_1*COT_1</f>
        <v>80</v>
      </c>
    </row>
    <row r="25">
      <c r="A25" s="36" t="n">
        <v>9</v>
      </c>
      <c r="B25" s="37">
        <f>DONG_1*COT_1</f>
        <v>9</v>
      </c>
      <c r="C25" s="37">
        <f>DONG_1*COT_1</f>
        <v>18</v>
      </c>
      <c r="D25" s="37">
        <f>DONG_1*COT_1</f>
        <v>27</v>
      </c>
      <c r="E25" s="37">
        <f>DONG_1*COT_1</f>
        <v>36</v>
      </c>
      <c r="F25" s="37">
        <f>DONG_1*COT_1</f>
        <v>45</v>
      </c>
      <c r="G25" s="37">
        <f>DONG_1*COT_1</f>
        <v>54</v>
      </c>
      <c r="H25" s="37">
        <f>DONG_1*COT_1</f>
        <v>63</v>
      </c>
      <c r="I25" s="37">
        <f>DONG_1*COT_1</f>
        <v>72</v>
      </c>
      <c r="J25" s="37">
        <f>DONG_1*COT_1</f>
        <v>81</v>
      </c>
      <c r="K25" s="37">
        <f>DONG_1*COT_1</f>
        <v>90</v>
      </c>
    </row>
    <row r="26">
      <c r="A26" s="36" t="n">
        <v>10</v>
      </c>
      <c r="B26" s="37">
        <f>DONG_1*COT_1</f>
        <v>10</v>
      </c>
      <c r="C26" s="37">
        <f>DONG_1*COT_1</f>
        <v>20</v>
      </c>
      <c r="D26" s="37">
        <f>DONG_1*COT_1</f>
        <v>30</v>
      </c>
      <c r="E26" s="37">
        <f>DONG_1*COT_1</f>
        <v>40</v>
      </c>
      <c r="F26" s="37">
        <f>DONG_1*COT_1</f>
        <v>50</v>
      </c>
      <c r="G26" s="37">
        <f>DONG_1*COT_1</f>
        <v>60</v>
      </c>
      <c r="H26" s="37">
        <f>DONG_1*COT_1</f>
        <v>70</v>
      </c>
      <c r="I26" s="37">
        <f>DONG_1*COT_1</f>
        <v>80</v>
      </c>
      <c r="J26" s="37">
        <f>DONG_1*COT_1</f>
        <v>90</v>
      </c>
      <c r="K26" s="37">
        <f>DONG_1*COT_1</f>
        <v>100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tabSelected="0" workbookViewId="0">
      <selection activeCell="A1" sqref="A1:H1"/>
    </sheetView>
  </sheetViews>
  <sheetFormatPr baseColWidth="8" defaultRowHeight="15.75"/>
  <cols>
    <col width="6" customWidth="1" style="109" min="1" max="1"/>
    <col width="12.28515625" customWidth="1" style="109" min="2" max="2"/>
    <col width="10.28515625" customWidth="1" style="109" min="3" max="3"/>
    <col width="11.140625" customWidth="1" style="109" min="4" max="4"/>
    <col width="7.140625" bestFit="1" customWidth="1" style="109" min="5" max="5"/>
    <col width="11.140625" customWidth="1" style="109" min="6" max="6"/>
    <col width="20.42578125" customWidth="1" style="109" min="7" max="7"/>
    <col width="10.5703125" customWidth="1" style="109" min="8" max="8"/>
    <col width="10.7109375" customWidth="1" style="109" min="9" max="9"/>
    <col width="9.140625" customWidth="1" style="109" min="10" max="10"/>
    <col width="18.7109375" customWidth="1" style="109" min="11" max="11"/>
    <col width="10.85546875" customWidth="1" style="109" min="12" max="12"/>
    <col width="18.85546875" customWidth="1" style="109" min="13" max="13"/>
    <col width="9.140625" customWidth="1" style="109" min="14" max="17"/>
    <col width="12.140625" customWidth="1" style="109" min="18" max="21"/>
    <col width="9.140625" customWidth="1" style="109" min="22" max="256"/>
    <col width="6" customWidth="1" style="109" min="257" max="257"/>
    <col width="9.140625" customWidth="1" style="109" min="258" max="258"/>
    <col width="10.28515625" customWidth="1" style="109" min="259" max="259"/>
    <col width="11.140625" customWidth="1" style="109" min="260" max="260"/>
    <col width="18.140625" customWidth="1" style="109" min="261" max="264"/>
    <col width="29.85546875" customWidth="1" style="109" min="265" max="265"/>
    <col width="9.140625" customWidth="1" style="109" min="266" max="512"/>
    <col width="6" customWidth="1" style="109" min="513" max="513"/>
    <col width="9.140625" customWidth="1" style="109" min="514" max="514"/>
    <col width="10.28515625" customWidth="1" style="109" min="515" max="515"/>
    <col width="11.140625" customWidth="1" style="109" min="516" max="516"/>
    <col width="18.140625" customWidth="1" style="109" min="517" max="520"/>
    <col width="29.85546875" customWidth="1" style="109" min="521" max="521"/>
    <col width="9.140625" customWidth="1" style="109" min="522" max="768"/>
    <col width="6" customWidth="1" style="109" min="769" max="769"/>
    <col width="9.140625" customWidth="1" style="109" min="770" max="770"/>
    <col width="10.28515625" customWidth="1" style="109" min="771" max="771"/>
    <col width="11.140625" customWidth="1" style="109" min="772" max="772"/>
    <col width="18.140625" customWidth="1" style="109" min="773" max="776"/>
    <col width="29.85546875" customWidth="1" style="109" min="777" max="777"/>
    <col width="9.140625" customWidth="1" style="109" min="778" max="1024"/>
    <col width="6" customWidth="1" style="109" min="1025" max="1025"/>
    <col width="9.140625" customWidth="1" style="109" min="1026" max="1026"/>
    <col width="10.28515625" customWidth="1" style="109" min="1027" max="1027"/>
    <col width="11.140625" customWidth="1" style="109" min="1028" max="1028"/>
    <col width="18.140625" customWidth="1" style="109" min="1029" max="1032"/>
    <col width="29.85546875" customWidth="1" style="109" min="1033" max="1033"/>
    <col width="9.140625" customWidth="1" style="109" min="1034" max="1280"/>
    <col width="6" customWidth="1" style="109" min="1281" max="1281"/>
    <col width="9.140625" customWidth="1" style="109" min="1282" max="1282"/>
    <col width="10.28515625" customWidth="1" style="109" min="1283" max="1283"/>
    <col width="11.140625" customWidth="1" style="109" min="1284" max="1284"/>
    <col width="18.140625" customWidth="1" style="109" min="1285" max="1288"/>
    <col width="29.85546875" customWidth="1" style="109" min="1289" max="1289"/>
    <col width="9.140625" customWidth="1" style="109" min="1290" max="1536"/>
    <col width="6" customWidth="1" style="109" min="1537" max="1537"/>
    <col width="9.140625" customWidth="1" style="109" min="1538" max="1538"/>
    <col width="10.28515625" customWidth="1" style="109" min="1539" max="1539"/>
    <col width="11.140625" customWidth="1" style="109" min="1540" max="1540"/>
    <col width="18.140625" customWidth="1" style="109" min="1541" max="1544"/>
    <col width="29.85546875" customWidth="1" style="109" min="1545" max="1545"/>
    <col width="9.140625" customWidth="1" style="109" min="1546" max="1792"/>
    <col width="6" customWidth="1" style="109" min="1793" max="1793"/>
    <col width="9.140625" customWidth="1" style="109" min="1794" max="1794"/>
    <col width="10.28515625" customWidth="1" style="109" min="1795" max="1795"/>
    <col width="11.140625" customWidth="1" style="109" min="1796" max="1796"/>
    <col width="18.140625" customWidth="1" style="109" min="1797" max="1800"/>
    <col width="29.85546875" customWidth="1" style="109" min="1801" max="1801"/>
    <col width="9.140625" customWidth="1" style="109" min="1802" max="2048"/>
    <col width="6" customWidth="1" style="109" min="2049" max="2049"/>
    <col width="9.140625" customWidth="1" style="109" min="2050" max="2050"/>
    <col width="10.28515625" customWidth="1" style="109" min="2051" max="2051"/>
    <col width="11.140625" customWidth="1" style="109" min="2052" max="2052"/>
    <col width="18.140625" customWidth="1" style="109" min="2053" max="2056"/>
    <col width="29.85546875" customWidth="1" style="109" min="2057" max="2057"/>
    <col width="9.140625" customWidth="1" style="109" min="2058" max="2304"/>
    <col width="6" customWidth="1" style="109" min="2305" max="2305"/>
    <col width="9.140625" customWidth="1" style="109" min="2306" max="2306"/>
    <col width="10.28515625" customWidth="1" style="109" min="2307" max="2307"/>
    <col width="11.140625" customWidth="1" style="109" min="2308" max="2308"/>
    <col width="18.140625" customWidth="1" style="109" min="2309" max="2312"/>
    <col width="29.85546875" customWidth="1" style="109" min="2313" max="2313"/>
    <col width="9.140625" customWidth="1" style="109" min="2314" max="2560"/>
    <col width="6" customWidth="1" style="109" min="2561" max="2561"/>
    <col width="9.140625" customWidth="1" style="109" min="2562" max="2562"/>
    <col width="10.28515625" customWidth="1" style="109" min="2563" max="2563"/>
    <col width="11.140625" customWidth="1" style="109" min="2564" max="2564"/>
    <col width="18.140625" customWidth="1" style="109" min="2565" max="2568"/>
    <col width="29.85546875" customWidth="1" style="109" min="2569" max="2569"/>
    <col width="9.140625" customWidth="1" style="109" min="2570" max="2816"/>
    <col width="6" customWidth="1" style="109" min="2817" max="2817"/>
    <col width="9.140625" customWidth="1" style="109" min="2818" max="2818"/>
    <col width="10.28515625" customWidth="1" style="109" min="2819" max="2819"/>
    <col width="11.140625" customWidth="1" style="109" min="2820" max="2820"/>
    <col width="18.140625" customWidth="1" style="109" min="2821" max="2824"/>
    <col width="29.85546875" customWidth="1" style="109" min="2825" max="2825"/>
    <col width="9.140625" customWidth="1" style="109" min="2826" max="3072"/>
    <col width="6" customWidth="1" style="109" min="3073" max="3073"/>
    <col width="9.140625" customWidth="1" style="109" min="3074" max="3074"/>
    <col width="10.28515625" customWidth="1" style="109" min="3075" max="3075"/>
    <col width="11.140625" customWidth="1" style="109" min="3076" max="3076"/>
    <col width="18.140625" customWidth="1" style="109" min="3077" max="3080"/>
    <col width="29.85546875" customWidth="1" style="109" min="3081" max="3081"/>
    <col width="9.140625" customWidth="1" style="109" min="3082" max="3328"/>
    <col width="6" customWidth="1" style="109" min="3329" max="3329"/>
    <col width="9.140625" customWidth="1" style="109" min="3330" max="3330"/>
    <col width="10.28515625" customWidth="1" style="109" min="3331" max="3331"/>
    <col width="11.140625" customWidth="1" style="109" min="3332" max="3332"/>
    <col width="18.140625" customWidth="1" style="109" min="3333" max="3336"/>
    <col width="29.85546875" customWidth="1" style="109" min="3337" max="3337"/>
    <col width="9.140625" customWidth="1" style="109" min="3338" max="3584"/>
    <col width="6" customWidth="1" style="109" min="3585" max="3585"/>
    <col width="9.140625" customWidth="1" style="109" min="3586" max="3586"/>
    <col width="10.28515625" customWidth="1" style="109" min="3587" max="3587"/>
    <col width="11.140625" customWidth="1" style="109" min="3588" max="3588"/>
    <col width="18.140625" customWidth="1" style="109" min="3589" max="3592"/>
    <col width="29.85546875" customWidth="1" style="109" min="3593" max="3593"/>
    <col width="9.140625" customWidth="1" style="109" min="3594" max="3840"/>
    <col width="6" customWidth="1" style="109" min="3841" max="3841"/>
    <col width="9.140625" customWidth="1" style="109" min="3842" max="3842"/>
    <col width="10.28515625" customWidth="1" style="109" min="3843" max="3843"/>
    <col width="11.140625" customWidth="1" style="109" min="3844" max="3844"/>
    <col width="18.140625" customWidth="1" style="109" min="3845" max="3848"/>
    <col width="29.85546875" customWidth="1" style="109" min="3849" max="3849"/>
    <col width="9.140625" customWidth="1" style="109" min="3850" max="4096"/>
    <col width="6" customWidth="1" style="109" min="4097" max="4097"/>
    <col width="9.140625" customWidth="1" style="109" min="4098" max="4098"/>
    <col width="10.28515625" customWidth="1" style="109" min="4099" max="4099"/>
    <col width="11.140625" customWidth="1" style="109" min="4100" max="4100"/>
    <col width="18.140625" customWidth="1" style="109" min="4101" max="4104"/>
    <col width="29.85546875" customWidth="1" style="109" min="4105" max="4105"/>
    <col width="9.140625" customWidth="1" style="109" min="4106" max="4352"/>
    <col width="6" customWidth="1" style="109" min="4353" max="4353"/>
    <col width="9.140625" customWidth="1" style="109" min="4354" max="4354"/>
    <col width="10.28515625" customWidth="1" style="109" min="4355" max="4355"/>
    <col width="11.140625" customWidth="1" style="109" min="4356" max="4356"/>
    <col width="18.140625" customWidth="1" style="109" min="4357" max="4360"/>
    <col width="29.85546875" customWidth="1" style="109" min="4361" max="4361"/>
    <col width="9.140625" customWidth="1" style="109" min="4362" max="4608"/>
    <col width="6" customWidth="1" style="109" min="4609" max="4609"/>
    <col width="9.140625" customWidth="1" style="109" min="4610" max="4610"/>
    <col width="10.28515625" customWidth="1" style="109" min="4611" max="4611"/>
    <col width="11.140625" customWidth="1" style="109" min="4612" max="4612"/>
    <col width="18.140625" customWidth="1" style="109" min="4613" max="4616"/>
    <col width="29.85546875" customWidth="1" style="109" min="4617" max="4617"/>
    <col width="9.140625" customWidth="1" style="109" min="4618" max="4864"/>
    <col width="6" customWidth="1" style="109" min="4865" max="4865"/>
    <col width="9.140625" customWidth="1" style="109" min="4866" max="4866"/>
    <col width="10.28515625" customWidth="1" style="109" min="4867" max="4867"/>
    <col width="11.140625" customWidth="1" style="109" min="4868" max="4868"/>
    <col width="18.140625" customWidth="1" style="109" min="4869" max="4872"/>
    <col width="29.85546875" customWidth="1" style="109" min="4873" max="4873"/>
    <col width="9.140625" customWidth="1" style="109" min="4874" max="5120"/>
    <col width="6" customWidth="1" style="109" min="5121" max="5121"/>
    <col width="9.140625" customWidth="1" style="109" min="5122" max="5122"/>
    <col width="10.28515625" customWidth="1" style="109" min="5123" max="5123"/>
    <col width="11.140625" customWidth="1" style="109" min="5124" max="5124"/>
    <col width="18.140625" customWidth="1" style="109" min="5125" max="5128"/>
    <col width="29.85546875" customWidth="1" style="109" min="5129" max="5129"/>
    <col width="9.140625" customWidth="1" style="109" min="5130" max="5376"/>
    <col width="6" customWidth="1" style="109" min="5377" max="5377"/>
    <col width="9.140625" customWidth="1" style="109" min="5378" max="5378"/>
    <col width="10.28515625" customWidth="1" style="109" min="5379" max="5379"/>
    <col width="11.140625" customWidth="1" style="109" min="5380" max="5380"/>
    <col width="18.140625" customWidth="1" style="109" min="5381" max="5384"/>
    <col width="29.85546875" customWidth="1" style="109" min="5385" max="5385"/>
    <col width="9.140625" customWidth="1" style="109" min="5386" max="5632"/>
    <col width="6" customWidth="1" style="109" min="5633" max="5633"/>
    <col width="9.140625" customWidth="1" style="109" min="5634" max="5634"/>
    <col width="10.28515625" customWidth="1" style="109" min="5635" max="5635"/>
    <col width="11.140625" customWidth="1" style="109" min="5636" max="5636"/>
    <col width="18.140625" customWidth="1" style="109" min="5637" max="5640"/>
    <col width="29.85546875" customWidth="1" style="109" min="5641" max="5641"/>
    <col width="9.140625" customWidth="1" style="109" min="5642" max="5888"/>
    <col width="6" customWidth="1" style="109" min="5889" max="5889"/>
    <col width="9.140625" customWidth="1" style="109" min="5890" max="5890"/>
    <col width="10.28515625" customWidth="1" style="109" min="5891" max="5891"/>
    <col width="11.140625" customWidth="1" style="109" min="5892" max="5892"/>
    <col width="18.140625" customWidth="1" style="109" min="5893" max="5896"/>
    <col width="29.85546875" customWidth="1" style="109" min="5897" max="5897"/>
    <col width="9.140625" customWidth="1" style="109" min="5898" max="6144"/>
    <col width="6" customWidth="1" style="109" min="6145" max="6145"/>
    <col width="9.140625" customWidth="1" style="109" min="6146" max="6146"/>
    <col width="10.28515625" customWidth="1" style="109" min="6147" max="6147"/>
    <col width="11.140625" customWidth="1" style="109" min="6148" max="6148"/>
    <col width="18.140625" customWidth="1" style="109" min="6149" max="6152"/>
    <col width="29.85546875" customWidth="1" style="109" min="6153" max="6153"/>
    <col width="9.140625" customWidth="1" style="109" min="6154" max="6400"/>
    <col width="6" customWidth="1" style="109" min="6401" max="6401"/>
    <col width="9.140625" customWidth="1" style="109" min="6402" max="6402"/>
    <col width="10.28515625" customWidth="1" style="109" min="6403" max="6403"/>
    <col width="11.140625" customWidth="1" style="109" min="6404" max="6404"/>
    <col width="18.140625" customWidth="1" style="109" min="6405" max="6408"/>
    <col width="29.85546875" customWidth="1" style="109" min="6409" max="6409"/>
    <col width="9.140625" customWidth="1" style="109" min="6410" max="6656"/>
    <col width="6" customWidth="1" style="109" min="6657" max="6657"/>
    <col width="9.140625" customWidth="1" style="109" min="6658" max="6658"/>
    <col width="10.28515625" customWidth="1" style="109" min="6659" max="6659"/>
    <col width="11.140625" customWidth="1" style="109" min="6660" max="6660"/>
    <col width="18.140625" customWidth="1" style="109" min="6661" max="6664"/>
    <col width="29.85546875" customWidth="1" style="109" min="6665" max="6665"/>
    <col width="9.140625" customWidth="1" style="109" min="6666" max="6912"/>
    <col width="6" customWidth="1" style="109" min="6913" max="6913"/>
    <col width="9.140625" customWidth="1" style="109" min="6914" max="6914"/>
    <col width="10.28515625" customWidth="1" style="109" min="6915" max="6915"/>
    <col width="11.140625" customWidth="1" style="109" min="6916" max="6916"/>
    <col width="18.140625" customWidth="1" style="109" min="6917" max="6920"/>
    <col width="29.85546875" customWidth="1" style="109" min="6921" max="6921"/>
    <col width="9.140625" customWidth="1" style="109" min="6922" max="7168"/>
    <col width="6" customWidth="1" style="109" min="7169" max="7169"/>
    <col width="9.140625" customWidth="1" style="109" min="7170" max="7170"/>
    <col width="10.28515625" customWidth="1" style="109" min="7171" max="7171"/>
    <col width="11.140625" customWidth="1" style="109" min="7172" max="7172"/>
    <col width="18.140625" customWidth="1" style="109" min="7173" max="7176"/>
    <col width="29.85546875" customWidth="1" style="109" min="7177" max="7177"/>
    <col width="9.140625" customWidth="1" style="109" min="7178" max="7424"/>
    <col width="6" customWidth="1" style="109" min="7425" max="7425"/>
    <col width="9.140625" customWidth="1" style="109" min="7426" max="7426"/>
    <col width="10.28515625" customWidth="1" style="109" min="7427" max="7427"/>
    <col width="11.140625" customWidth="1" style="109" min="7428" max="7428"/>
    <col width="18.140625" customWidth="1" style="109" min="7429" max="7432"/>
    <col width="29.85546875" customWidth="1" style="109" min="7433" max="7433"/>
    <col width="9.140625" customWidth="1" style="109" min="7434" max="7680"/>
    <col width="6" customWidth="1" style="109" min="7681" max="7681"/>
    <col width="9.140625" customWidth="1" style="109" min="7682" max="7682"/>
    <col width="10.28515625" customWidth="1" style="109" min="7683" max="7683"/>
    <col width="11.140625" customWidth="1" style="109" min="7684" max="7684"/>
    <col width="18.140625" customWidth="1" style="109" min="7685" max="7688"/>
    <col width="29.85546875" customWidth="1" style="109" min="7689" max="7689"/>
    <col width="9.140625" customWidth="1" style="109" min="7690" max="7936"/>
    <col width="6" customWidth="1" style="109" min="7937" max="7937"/>
    <col width="9.140625" customWidth="1" style="109" min="7938" max="7938"/>
    <col width="10.28515625" customWidth="1" style="109" min="7939" max="7939"/>
    <col width="11.140625" customWidth="1" style="109" min="7940" max="7940"/>
    <col width="18.140625" customWidth="1" style="109" min="7941" max="7944"/>
    <col width="29.85546875" customWidth="1" style="109" min="7945" max="7945"/>
    <col width="9.140625" customWidth="1" style="109" min="7946" max="8192"/>
    <col width="6" customWidth="1" style="109" min="8193" max="8193"/>
    <col width="9.140625" customWidth="1" style="109" min="8194" max="8194"/>
    <col width="10.28515625" customWidth="1" style="109" min="8195" max="8195"/>
    <col width="11.140625" customWidth="1" style="109" min="8196" max="8196"/>
    <col width="18.140625" customWidth="1" style="109" min="8197" max="8200"/>
    <col width="29.85546875" customWidth="1" style="109" min="8201" max="8201"/>
    <col width="9.140625" customWidth="1" style="109" min="8202" max="8448"/>
    <col width="6" customWidth="1" style="109" min="8449" max="8449"/>
    <col width="9.140625" customWidth="1" style="109" min="8450" max="8450"/>
    <col width="10.28515625" customWidth="1" style="109" min="8451" max="8451"/>
    <col width="11.140625" customWidth="1" style="109" min="8452" max="8452"/>
    <col width="18.140625" customWidth="1" style="109" min="8453" max="8456"/>
    <col width="29.85546875" customWidth="1" style="109" min="8457" max="8457"/>
    <col width="9.140625" customWidth="1" style="109" min="8458" max="8704"/>
    <col width="6" customWidth="1" style="109" min="8705" max="8705"/>
    <col width="9.140625" customWidth="1" style="109" min="8706" max="8706"/>
    <col width="10.28515625" customWidth="1" style="109" min="8707" max="8707"/>
    <col width="11.140625" customWidth="1" style="109" min="8708" max="8708"/>
    <col width="18.140625" customWidth="1" style="109" min="8709" max="8712"/>
    <col width="29.85546875" customWidth="1" style="109" min="8713" max="8713"/>
    <col width="9.140625" customWidth="1" style="109" min="8714" max="8960"/>
    <col width="6" customWidth="1" style="109" min="8961" max="8961"/>
    <col width="9.140625" customWidth="1" style="109" min="8962" max="8962"/>
    <col width="10.28515625" customWidth="1" style="109" min="8963" max="8963"/>
    <col width="11.140625" customWidth="1" style="109" min="8964" max="8964"/>
    <col width="18.140625" customWidth="1" style="109" min="8965" max="8968"/>
    <col width="29.85546875" customWidth="1" style="109" min="8969" max="8969"/>
    <col width="9.140625" customWidth="1" style="109" min="8970" max="9216"/>
    <col width="6" customWidth="1" style="109" min="9217" max="9217"/>
    <col width="9.140625" customWidth="1" style="109" min="9218" max="9218"/>
    <col width="10.28515625" customWidth="1" style="109" min="9219" max="9219"/>
    <col width="11.140625" customWidth="1" style="109" min="9220" max="9220"/>
    <col width="18.140625" customWidth="1" style="109" min="9221" max="9224"/>
    <col width="29.85546875" customWidth="1" style="109" min="9225" max="9225"/>
    <col width="9.140625" customWidth="1" style="109" min="9226" max="9472"/>
    <col width="6" customWidth="1" style="109" min="9473" max="9473"/>
    <col width="9.140625" customWidth="1" style="109" min="9474" max="9474"/>
    <col width="10.28515625" customWidth="1" style="109" min="9475" max="9475"/>
    <col width="11.140625" customWidth="1" style="109" min="9476" max="9476"/>
    <col width="18.140625" customWidth="1" style="109" min="9477" max="9480"/>
    <col width="29.85546875" customWidth="1" style="109" min="9481" max="9481"/>
    <col width="9.140625" customWidth="1" style="109" min="9482" max="9728"/>
    <col width="6" customWidth="1" style="109" min="9729" max="9729"/>
    <col width="9.140625" customWidth="1" style="109" min="9730" max="9730"/>
    <col width="10.28515625" customWidth="1" style="109" min="9731" max="9731"/>
    <col width="11.140625" customWidth="1" style="109" min="9732" max="9732"/>
    <col width="18.140625" customWidth="1" style="109" min="9733" max="9736"/>
    <col width="29.85546875" customWidth="1" style="109" min="9737" max="9737"/>
    <col width="9.140625" customWidth="1" style="109" min="9738" max="9984"/>
    <col width="6" customWidth="1" style="109" min="9985" max="9985"/>
    <col width="9.140625" customWidth="1" style="109" min="9986" max="9986"/>
    <col width="10.28515625" customWidth="1" style="109" min="9987" max="9987"/>
    <col width="11.140625" customWidth="1" style="109" min="9988" max="9988"/>
    <col width="18.140625" customWidth="1" style="109" min="9989" max="9992"/>
    <col width="29.85546875" customWidth="1" style="109" min="9993" max="9993"/>
    <col width="9.140625" customWidth="1" style="109" min="9994" max="10240"/>
    <col width="6" customWidth="1" style="109" min="10241" max="10241"/>
    <col width="9.140625" customWidth="1" style="109" min="10242" max="10242"/>
    <col width="10.28515625" customWidth="1" style="109" min="10243" max="10243"/>
    <col width="11.140625" customWidth="1" style="109" min="10244" max="10244"/>
    <col width="18.140625" customWidth="1" style="109" min="10245" max="10248"/>
    <col width="29.85546875" customWidth="1" style="109" min="10249" max="10249"/>
    <col width="9.140625" customWidth="1" style="109" min="10250" max="10496"/>
    <col width="6" customWidth="1" style="109" min="10497" max="10497"/>
    <col width="9.140625" customWidth="1" style="109" min="10498" max="10498"/>
    <col width="10.28515625" customWidth="1" style="109" min="10499" max="10499"/>
    <col width="11.140625" customWidth="1" style="109" min="10500" max="10500"/>
    <col width="18.140625" customWidth="1" style="109" min="10501" max="10504"/>
    <col width="29.85546875" customWidth="1" style="109" min="10505" max="10505"/>
    <col width="9.140625" customWidth="1" style="109" min="10506" max="10752"/>
    <col width="6" customWidth="1" style="109" min="10753" max="10753"/>
    <col width="9.140625" customWidth="1" style="109" min="10754" max="10754"/>
    <col width="10.28515625" customWidth="1" style="109" min="10755" max="10755"/>
    <col width="11.140625" customWidth="1" style="109" min="10756" max="10756"/>
    <col width="18.140625" customWidth="1" style="109" min="10757" max="10760"/>
    <col width="29.85546875" customWidth="1" style="109" min="10761" max="10761"/>
    <col width="9.140625" customWidth="1" style="109" min="10762" max="11008"/>
    <col width="6" customWidth="1" style="109" min="11009" max="11009"/>
    <col width="9.140625" customWidth="1" style="109" min="11010" max="11010"/>
    <col width="10.28515625" customWidth="1" style="109" min="11011" max="11011"/>
    <col width="11.140625" customWidth="1" style="109" min="11012" max="11012"/>
    <col width="18.140625" customWidth="1" style="109" min="11013" max="11016"/>
    <col width="29.85546875" customWidth="1" style="109" min="11017" max="11017"/>
    <col width="9.140625" customWidth="1" style="109" min="11018" max="11264"/>
    <col width="6" customWidth="1" style="109" min="11265" max="11265"/>
    <col width="9.140625" customWidth="1" style="109" min="11266" max="11266"/>
    <col width="10.28515625" customWidth="1" style="109" min="11267" max="11267"/>
    <col width="11.140625" customWidth="1" style="109" min="11268" max="11268"/>
    <col width="18.140625" customWidth="1" style="109" min="11269" max="11272"/>
    <col width="29.85546875" customWidth="1" style="109" min="11273" max="11273"/>
    <col width="9.140625" customWidth="1" style="109" min="11274" max="11520"/>
    <col width="6" customWidth="1" style="109" min="11521" max="11521"/>
    <col width="9.140625" customWidth="1" style="109" min="11522" max="11522"/>
    <col width="10.28515625" customWidth="1" style="109" min="11523" max="11523"/>
    <col width="11.140625" customWidth="1" style="109" min="11524" max="11524"/>
    <col width="18.140625" customWidth="1" style="109" min="11525" max="11528"/>
    <col width="29.85546875" customWidth="1" style="109" min="11529" max="11529"/>
    <col width="9.140625" customWidth="1" style="109" min="11530" max="11776"/>
    <col width="6" customWidth="1" style="109" min="11777" max="11777"/>
    <col width="9.140625" customWidth="1" style="109" min="11778" max="11778"/>
    <col width="10.28515625" customWidth="1" style="109" min="11779" max="11779"/>
    <col width="11.140625" customWidth="1" style="109" min="11780" max="11780"/>
    <col width="18.140625" customWidth="1" style="109" min="11781" max="11784"/>
    <col width="29.85546875" customWidth="1" style="109" min="11785" max="11785"/>
    <col width="9.140625" customWidth="1" style="109" min="11786" max="12032"/>
    <col width="6" customWidth="1" style="109" min="12033" max="12033"/>
    <col width="9.140625" customWidth="1" style="109" min="12034" max="12034"/>
    <col width="10.28515625" customWidth="1" style="109" min="12035" max="12035"/>
    <col width="11.140625" customWidth="1" style="109" min="12036" max="12036"/>
    <col width="18.140625" customWidth="1" style="109" min="12037" max="12040"/>
    <col width="29.85546875" customWidth="1" style="109" min="12041" max="12041"/>
    <col width="9.140625" customWidth="1" style="109" min="12042" max="12288"/>
    <col width="6" customWidth="1" style="109" min="12289" max="12289"/>
    <col width="9.140625" customWidth="1" style="109" min="12290" max="12290"/>
    <col width="10.28515625" customWidth="1" style="109" min="12291" max="12291"/>
    <col width="11.140625" customWidth="1" style="109" min="12292" max="12292"/>
    <col width="18.140625" customWidth="1" style="109" min="12293" max="12296"/>
    <col width="29.85546875" customWidth="1" style="109" min="12297" max="12297"/>
    <col width="9.140625" customWidth="1" style="109" min="12298" max="12544"/>
    <col width="6" customWidth="1" style="109" min="12545" max="12545"/>
    <col width="9.140625" customWidth="1" style="109" min="12546" max="12546"/>
    <col width="10.28515625" customWidth="1" style="109" min="12547" max="12547"/>
    <col width="11.140625" customWidth="1" style="109" min="12548" max="12548"/>
    <col width="18.140625" customWidth="1" style="109" min="12549" max="12552"/>
    <col width="29.85546875" customWidth="1" style="109" min="12553" max="12553"/>
    <col width="9.140625" customWidth="1" style="109" min="12554" max="12800"/>
    <col width="6" customWidth="1" style="109" min="12801" max="12801"/>
    <col width="9.140625" customWidth="1" style="109" min="12802" max="12802"/>
    <col width="10.28515625" customWidth="1" style="109" min="12803" max="12803"/>
    <col width="11.140625" customWidth="1" style="109" min="12804" max="12804"/>
    <col width="18.140625" customWidth="1" style="109" min="12805" max="12808"/>
    <col width="29.85546875" customWidth="1" style="109" min="12809" max="12809"/>
    <col width="9.140625" customWidth="1" style="109" min="12810" max="13056"/>
    <col width="6" customWidth="1" style="109" min="13057" max="13057"/>
    <col width="9.140625" customWidth="1" style="109" min="13058" max="13058"/>
    <col width="10.28515625" customWidth="1" style="109" min="13059" max="13059"/>
    <col width="11.140625" customWidth="1" style="109" min="13060" max="13060"/>
    <col width="18.140625" customWidth="1" style="109" min="13061" max="13064"/>
    <col width="29.85546875" customWidth="1" style="109" min="13065" max="13065"/>
    <col width="9.140625" customWidth="1" style="109" min="13066" max="13312"/>
    <col width="6" customWidth="1" style="109" min="13313" max="13313"/>
    <col width="9.140625" customWidth="1" style="109" min="13314" max="13314"/>
    <col width="10.28515625" customWidth="1" style="109" min="13315" max="13315"/>
    <col width="11.140625" customWidth="1" style="109" min="13316" max="13316"/>
    <col width="18.140625" customWidth="1" style="109" min="13317" max="13320"/>
    <col width="29.85546875" customWidth="1" style="109" min="13321" max="13321"/>
    <col width="9.140625" customWidth="1" style="109" min="13322" max="13568"/>
    <col width="6" customWidth="1" style="109" min="13569" max="13569"/>
    <col width="9.140625" customWidth="1" style="109" min="13570" max="13570"/>
    <col width="10.28515625" customWidth="1" style="109" min="13571" max="13571"/>
    <col width="11.140625" customWidth="1" style="109" min="13572" max="13572"/>
    <col width="18.140625" customWidth="1" style="109" min="13573" max="13576"/>
    <col width="29.85546875" customWidth="1" style="109" min="13577" max="13577"/>
    <col width="9.140625" customWidth="1" style="109" min="13578" max="13824"/>
    <col width="6" customWidth="1" style="109" min="13825" max="13825"/>
    <col width="9.140625" customWidth="1" style="109" min="13826" max="13826"/>
    <col width="10.28515625" customWidth="1" style="109" min="13827" max="13827"/>
    <col width="11.140625" customWidth="1" style="109" min="13828" max="13828"/>
    <col width="18.140625" customWidth="1" style="109" min="13829" max="13832"/>
    <col width="29.85546875" customWidth="1" style="109" min="13833" max="13833"/>
    <col width="9.140625" customWidth="1" style="109" min="13834" max="14080"/>
    <col width="6" customWidth="1" style="109" min="14081" max="14081"/>
    <col width="9.140625" customWidth="1" style="109" min="14082" max="14082"/>
    <col width="10.28515625" customWidth="1" style="109" min="14083" max="14083"/>
    <col width="11.140625" customWidth="1" style="109" min="14084" max="14084"/>
    <col width="18.140625" customWidth="1" style="109" min="14085" max="14088"/>
    <col width="29.85546875" customWidth="1" style="109" min="14089" max="14089"/>
    <col width="9.140625" customWidth="1" style="109" min="14090" max="14336"/>
    <col width="6" customWidth="1" style="109" min="14337" max="14337"/>
    <col width="9.140625" customWidth="1" style="109" min="14338" max="14338"/>
    <col width="10.28515625" customWidth="1" style="109" min="14339" max="14339"/>
    <col width="11.140625" customWidth="1" style="109" min="14340" max="14340"/>
    <col width="18.140625" customWidth="1" style="109" min="14341" max="14344"/>
    <col width="29.85546875" customWidth="1" style="109" min="14345" max="14345"/>
    <col width="9.140625" customWidth="1" style="109" min="14346" max="14592"/>
    <col width="6" customWidth="1" style="109" min="14593" max="14593"/>
    <col width="9.140625" customWidth="1" style="109" min="14594" max="14594"/>
    <col width="10.28515625" customWidth="1" style="109" min="14595" max="14595"/>
    <col width="11.140625" customWidth="1" style="109" min="14596" max="14596"/>
    <col width="18.140625" customWidth="1" style="109" min="14597" max="14600"/>
    <col width="29.85546875" customWidth="1" style="109" min="14601" max="14601"/>
    <col width="9.140625" customWidth="1" style="109" min="14602" max="14848"/>
    <col width="6" customWidth="1" style="109" min="14849" max="14849"/>
    <col width="9.140625" customWidth="1" style="109" min="14850" max="14850"/>
    <col width="10.28515625" customWidth="1" style="109" min="14851" max="14851"/>
    <col width="11.140625" customWidth="1" style="109" min="14852" max="14852"/>
    <col width="18.140625" customWidth="1" style="109" min="14853" max="14856"/>
    <col width="29.85546875" customWidth="1" style="109" min="14857" max="14857"/>
    <col width="9.140625" customWidth="1" style="109" min="14858" max="15104"/>
    <col width="6" customWidth="1" style="109" min="15105" max="15105"/>
    <col width="9.140625" customWidth="1" style="109" min="15106" max="15106"/>
    <col width="10.28515625" customWidth="1" style="109" min="15107" max="15107"/>
    <col width="11.140625" customWidth="1" style="109" min="15108" max="15108"/>
    <col width="18.140625" customWidth="1" style="109" min="15109" max="15112"/>
    <col width="29.85546875" customWidth="1" style="109" min="15113" max="15113"/>
    <col width="9.140625" customWidth="1" style="109" min="15114" max="15360"/>
    <col width="6" customWidth="1" style="109" min="15361" max="15361"/>
    <col width="9.140625" customWidth="1" style="109" min="15362" max="15362"/>
    <col width="10.28515625" customWidth="1" style="109" min="15363" max="15363"/>
    <col width="11.140625" customWidth="1" style="109" min="15364" max="15364"/>
    <col width="18.140625" customWidth="1" style="109" min="15365" max="15368"/>
    <col width="29.85546875" customWidth="1" style="109" min="15369" max="15369"/>
    <col width="9.140625" customWidth="1" style="109" min="15370" max="15616"/>
    <col width="6" customWidth="1" style="109" min="15617" max="15617"/>
    <col width="9.140625" customWidth="1" style="109" min="15618" max="15618"/>
    <col width="10.28515625" customWidth="1" style="109" min="15619" max="15619"/>
    <col width="11.140625" customWidth="1" style="109" min="15620" max="15620"/>
    <col width="18.140625" customWidth="1" style="109" min="15621" max="15624"/>
    <col width="29.85546875" customWidth="1" style="109" min="15625" max="15625"/>
    <col width="9.140625" customWidth="1" style="109" min="15626" max="15872"/>
    <col width="6" customWidth="1" style="109" min="15873" max="15873"/>
    <col width="9.140625" customWidth="1" style="109" min="15874" max="15874"/>
    <col width="10.28515625" customWidth="1" style="109" min="15875" max="15875"/>
    <col width="11.140625" customWidth="1" style="109" min="15876" max="15876"/>
    <col width="18.140625" customWidth="1" style="109" min="15877" max="15880"/>
    <col width="29.85546875" customWidth="1" style="109" min="15881" max="15881"/>
    <col width="9.140625" customWidth="1" style="109" min="15882" max="16128"/>
    <col width="6" customWidth="1" style="109" min="16129" max="16129"/>
    <col width="9.140625" customWidth="1" style="109" min="16130" max="16130"/>
    <col width="10.28515625" customWidth="1" style="109" min="16131" max="16131"/>
    <col width="11.140625" customWidth="1" style="109" min="16132" max="16132"/>
    <col width="18.140625" customWidth="1" style="109" min="16133" max="16136"/>
    <col width="29.85546875" customWidth="1" style="109" min="16137" max="16137"/>
    <col width="9.140625" customWidth="1" style="109" min="16138" max="16384"/>
  </cols>
  <sheetData>
    <row r="1" ht="30.75" customHeight="1">
      <c r="A1" s="151" t="inlineStr">
        <is>
          <t>BẢNG KÊ DOANH THU TRONG NĂM 2016</t>
        </is>
      </c>
      <c r="I1" s="29" t="n"/>
    </row>
    <row r="2" ht="17.25" customFormat="1" customHeight="1" s="82" thickBot="1">
      <c r="D2" s="20" t="n"/>
      <c r="E2" s="21" t="n"/>
      <c r="G2" s="32" t="inlineStr">
        <is>
          <t>% tăng giá:</t>
        </is>
      </c>
      <c r="H2" s="39" t="n">
        <v>0.1</v>
      </c>
      <c r="J2" s="109" t="n"/>
      <c r="K2" s="109" t="n"/>
      <c r="L2" s="109" t="n"/>
    </row>
    <row r="3" ht="61.5" customFormat="1" customHeight="1" s="82" thickTop="1">
      <c r="A3" s="4" t="inlineStr">
        <is>
          <t>S
T
T</t>
        </is>
      </c>
      <c r="B3" s="5" t="inlineStr">
        <is>
          <t>MÃ HÀNG</t>
        </is>
      </c>
      <c r="C3" s="5" t="inlineStr">
        <is>
          <t>SỐ
LƯỢNG</t>
        </is>
      </c>
      <c r="D3" s="22" t="inlineStr">
        <is>
          <t>GIÁ MUA</t>
        </is>
      </c>
      <c r="E3" s="23" t="inlineStr">
        <is>
          <t>TĂNG GIÁ</t>
        </is>
      </c>
      <c r="F3" s="5" t="inlineStr">
        <is>
          <t>THÀNH TIỀN</t>
        </is>
      </c>
      <c r="G3" s="5" t="inlineStr">
        <is>
          <t>CƯỚC CHUYÊN CHỞ</t>
        </is>
      </c>
      <c r="H3" s="6" t="inlineStr">
        <is>
          <t>DOANH THU</t>
        </is>
      </c>
      <c r="J3" s="109" t="n"/>
      <c r="K3" s="109" t="n"/>
      <c r="L3" s="109" t="n"/>
    </row>
    <row r="4" ht="19.5" customFormat="1" customHeight="1" s="82">
      <c r="A4" s="8" t="n">
        <v>1</v>
      </c>
      <c r="B4" s="9" t="inlineStr">
        <is>
          <t>A1</t>
        </is>
      </c>
      <c r="C4" s="9" t="n">
        <v>100</v>
      </c>
      <c r="D4" s="9" t="n">
        <v>400</v>
      </c>
      <c r="E4" s="25">
        <f>D4*$H$2</f>
        <v>40</v>
      </c>
      <c r="F4" s="25">
        <f>C4*(D4+E4)</f>
        <v>44000</v>
      </c>
      <c r="G4" s="25">
        <f>C4*1500</f>
        <v>150000</v>
      </c>
      <c r="H4" s="26">
        <f>F4+G4</f>
        <v>194000</v>
      </c>
      <c r="J4" s="82" t="inlineStr">
        <is>
          <t>Số ô chứa số trong khối B4:D11</t>
        </is>
      </c>
      <c r="K4" s="109" t="n"/>
      <c r="L4" s="109" t="n"/>
      <c r="M4" s="33">
        <f>COUNT(B4:D11)</f>
        <v>14</v>
      </c>
    </row>
    <row r="5" ht="19.5" customFormat="1" customHeight="1" s="82">
      <c r="A5" s="8" t="n">
        <v>2</v>
      </c>
      <c r="B5" s="9" t="inlineStr">
        <is>
          <t>A2</t>
        </is>
      </c>
      <c r="C5" s="9" t="n">
        <v>50</v>
      </c>
      <c r="D5" s="9" t="n">
        <v>150</v>
      </c>
      <c r="E5" s="25">
        <f>D5*$H$2</f>
        <v>15</v>
      </c>
      <c r="F5" s="25">
        <f>C5*(D5+E5)</f>
        <v>8250</v>
      </c>
      <c r="G5" s="25">
        <f>C5*1500</f>
        <v>75000</v>
      </c>
      <c r="H5" s="26">
        <f>F5+G5</f>
        <v>83250</v>
      </c>
    </row>
    <row r="6" ht="19.5" customFormat="1" customHeight="1" s="82">
      <c r="A6" s="8" t="n">
        <v>3</v>
      </c>
      <c r="B6" s="9" t="inlineStr">
        <is>
          <t>A3</t>
        </is>
      </c>
      <c r="C6" s="9" t="n">
        <v>58</v>
      </c>
      <c r="D6" s="9" t="n">
        <v>120</v>
      </c>
      <c r="E6" s="25">
        <f>D6*$H$2</f>
        <v>12</v>
      </c>
      <c r="F6" s="25">
        <f>C6*(D6+E6)</f>
        <v>7656</v>
      </c>
      <c r="G6" s="25">
        <f>C6*1500</f>
        <v>87000</v>
      </c>
      <c r="H6" s="26">
        <f>F6+G6</f>
        <v>94656</v>
      </c>
      <c r="J6" s="82" t="inlineStr">
        <is>
          <t>Số ô không rỗng trong khối B4:D11</t>
        </is>
      </c>
      <c r="K6" s="109" t="n"/>
      <c r="M6" s="33">
        <f>COUNTA(B4:D11)</f>
        <v>22</v>
      </c>
      <c r="R6" s="109" t="n"/>
      <c r="S6" s="109" t="n"/>
      <c r="T6" s="109" t="n"/>
      <c r="U6" s="109" t="n"/>
      <c r="V6" s="109" t="n"/>
      <c r="W6" s="109" t="n"/>
    </row>
    <row r="7" ht="19.5" customFormat="1" customHeight="1" s="82">
      <c r="A7" s="8" t="n">
        <v>4</v>
      </c>
      <c r="B7" s="9" t="inlineStr">
        <is>
          <t>B1</t>
        </is>
      </c>
      <c r="C7" s="9" t="n">
        <v>79</v>
      </c>
      <c r="D7" s="9" t="n">
        <v>850</v>
      </c>
      <c r="E7" s="25">
        <f>D7*$H$2</f>
        <v>85</v>
      </c>
      <c r="F7" s="25">
        <f>C7*(D7+E7)</f>
        <v>73865</v>
      </c>
      <c r="G7" s="25">
        <f>C7*1500</f>
        <v>118500</v>
      </c>
      <c r="H7" s="26">
        <f>F7+G7</f>
        <v>192365</v>
      </c>
      <c r="R7" s="109" t="n"/>
      <c r="S7" s="109" t="n"/>
      <c r="T7" s="109" t="n"/>
      <c r="U7" s="109" t="n"/>
      <c r="V7" s="109" t="n"/>
      <c r="W7" s="109" t="n"/>
    </row>
    <row r="8" ht="19.5" customFormat="1" customHeight="1" s="82">
      <c r="A8" s="8" t="n">
        <v>5</v>
      </c>
      <c r="B8" s="9" t="inlineStr">
        <is>
          <t>B2</t>
        </is>
      </c>
      <c r="C8" s="9" t="n">
        <v>92</v>
      </c>
      <c r="D8" s="9" t="n">
        <v>200</v>
      </c>
      <c r="E8" s="25">
        <f>D8*$H$2</f>
        <v>20</v>
      </c>
      <c r="F8" s="25">
        <f>C8*(D8+E8)</f>
        <v>20240</v>
      </c>
      <c r="G8" s="25">
        <f>C8*1500</f>
        <v>138000</v>
      </c>
      <c r="H8" s="26">
        <f>F8+G8</f>
        <v>158240</v>
      </c>
      <c r="J8" s="82" t="inlineStr">
        <is>
          <t>Số ô rỗng trong khối B4:D11</t>
        </is>
      </c>
      <c r="M8" s="33">
        <f>COUNTBLANK(B4:D11)</f>
        <v>2</v>
      </c>
      <c r="R8" s="109" t="n"/>
      <c r="S8" s="109" t="n"/>
      <c r="T8" s="109" t="n"/>
      <c r="U8" s="109" t="n"/>
      <c r="V8" s="109" t="n"/>
      <c r="W8" s="109" t="n"/>
    </row>
    <row r="9" ht="19.5" customFormat="1" customHeight="1" s="82">
      <c r="A9" s="8" t="n">
        <v>6</v>
      </c>
      <c r="B9" s="9" t="inlineStr">
        <is>
          <t>B3</t>
        </is>
      </c>
      <c r="C9" s="9" t="n">
        <v>220</v>
      </c>
      <c r="D9" s="9" t="n">
        <v>250</v>
      </c>
      <c r="E9" s="25">
        <f>D9*$H$2</f>
        <v>25</v>
      </c>
      <c r="F9" s="25">
        <f>C9*(D9+E9)</f>
        <v>60500</v>
      </c>
      <c r="G9" s="25">
        <f>C9*1500</f>
        <v>330000</v>
      </c>
      <c r="H9" s="26">
        <f>F9+G9</f>
        <v>390500</v>
      </c>
      <c r="R9" s="109" t="n"/>
      <c r="S9" s="109" t="n"/>
      <c r="T9" s="109" t="n"/>
      <c r="U9" s="109" t="n"/>
      <c r="V9" s="109" t="n"/>
      <c r="W9" s="109" t="n"/>
    </row>
    <row r="10" ht="19.5" customFormat="1" customHeight="1" s="82">
      <c r="A10" s="76" t="n">
        <v>7</v>
      </c>
      <c r="B10" s="9" t="inlineStr">
        <is>
          <t>B4</t>
        </is>
      </c>
      <c r="C10" s="9" t="n">
        <v>199</v>
      </c>
      <c r="D10" s="9" t="n">
        <v>600</v>
      </c>
      <c r="E10" s="77">
        <f>D10*$H$2</f>
        <v>60</v>
      </c>
      <c r="F10" s="77">
        <f>C10*(D10+E10)</f>
        <v>131340</v>
      </c>
      <c r="G10" s="77">
        <f>C10*1500</f>
        <v>298500</v>
      </c>
      <c r="H10" s="78">
        <f>F10+G10</f>
        <v>429840</v>
      </c>
      <c r="J10" s="82" t="inlineStr">
        <is>
          <t>Số ô chỉ chứa chuỗi trong khối B4:D11</t>
        </is>
      </c>
      <c r="M10" s="33">
        <f>SUMPRODUCT(--ISTEXT(B4:D11))</f>
        <v>8</v>
      </c>
      <c r="R10" s="109" t="n"/>
      <c r="S10" s="109" t="n"/>
      <c r="T10" s="109" t="n"/>
      <c r="U10" s="109" t="n"/>
      <c r="V10" s="109" t="n"/>
      <c r="W10" s="109" t="n"/>
    </row>
    <row r="11" ht="19.5" customHeight="1" thickBot="1">
      <c r="A11" s="79" t="n"/>
      <c r="B11" s="80" t="inlineStr">
        <is>
          <t>TONG CONG</t>
        </is>
      </c>
      <c r="C11" s="80" t="n"/>
      <c r="D11" s="81" t="n"/>
      <c r="E11" s="27">
        <f>SUM(E4:E10)</f>
        <v>257</v>
      </c>
      <c r="F11" s="27">
        <f>SUM(F4:F10)</f>
        <v>345851</v>
      </c>
      <c r="G11" s="27">
        <f>SUM(G4:G10)</f>
        <v>1197000</v>
      </c>
      <c r="H11" s="28">
        <f>SUM(H4:H10)</f>
        <v>1542851</v>
      </c>
      <c r="J11" s="82" t="n"/>
      <c r="L11" s="82" t="n"/>
    </row>
    <row r="12" ht="16.5" customHeight="1" thickTop="1">
      <c r="A12" s="109" t="n"/>
      <c r="B12" s="109" t="n"/>
      <c r="C12" s="17" t="n"/>
      <c r="D12" s="17" t="n"/>
      <c r="E12" s="18" t="n"/>
      <c r="F12" s="18" t="n"/>
      <c r="G12" s="18" t="n"/>
      <c r="H12" s="18" t="n"/>
    </row>
    <row r="15">
      <c r="I15" s="63" t="n"/>
      <c r="J15" s="63" t="n"/>
    </row>
    <row r="16">
      <c r="B16" s="69" t="n"/>
      <c r="C16" s="109" t="n"/>
      <c r="D16" s="63" t="n"/>
      <c r="E16" s="63" t="n"/>
      <c r="F16" s="63" t="n"/>
      <c r="G16" s="63" t="n"/>
      <c r="H16" s="63" t="n"/>
      <c r="I16" s="63" t="n"/>
      <c r="J16" s="63" t="n"/>
    </row>
    <row r="17">
      <c r="B17" s="69" t="n"/>
      <c r="C17" s="109" t="n"/>
      <c r="D17" s="63" t="n"/>
      <c r="E17" s="63" t="n"/>
      <c r="F17" s="63" t="n"/>
      <c r="G17" s="63" t="n"/>
      <c r="H17" s="63" t="n"/>
      <c r="I17" s="63" t="n"/>
      <c r="J17" s="63" t="n"/>
    </row>
    <row r="18">
      <c r="B18" s="69" t="n"/>
      <c r="C18" s="109" t="n"/>
      <c r="D18" s="63" t="n"/>
      <c r="E18" s="63" t="n"/>
      <c r="F18" s="63" t="n"/>
      <c r="G18" s="63" t="n"/>
      <c r="H18" s="63" t="n"/>
      <c r="I18" s="63" t="n"/>
      <c r="J18" s="63" t="n"/>
    </row>
    <row r="19">
      <c r="B19" s="69" t="n"/>
      <c r="C19" s="109" t="n"/>
      <c r="D19" s="63" t="n"/>
      <c r="E19" s="63" t="n"/>
      <c r="F19" s="63" t="n"/>
      <c r="G19" s="63" t="n"/>
      <c r="H19" s="63" t="n"/>
    </row>
    <row r="20">
      <c r="B20" s="71" t="n"/>
      <c r="C20" s="109" t="n"/>
    </row>
    <row r="21">
      <c r="B21" s="71" t="n"/>
      <c r="C21" s="109" t="n"/>
    </row>
    <row r="22">
      <c r="B22" s="71" t="n"/>
      <c r="C22" s="109" t="n"/>
    </row>
    <row r="23">
      <c r="B23" s="71" t="n"/>
      <c r="C23" s="109" t="n"/>
    </row>
    <row r="24">
      <c r="B24" s="71" t="n"/>
      <c r="C24" s="109" t="n"/>
    </row>
  </sheetData>
  <mergeCells count="1">
    <mergeCell ref="A1:H1"/>
  </mergeCells>
  <pageMargins left="1.25" right="0.75" top="0.25" bottom="0.25" header="0.5" footer="0.5"/>
  <pageSetup orientation="landscape" paperSize="9"/>
  <headerFooter alignWithMargins="0">
    <oddHeader>&amp;RBiên soạn: Khoa Công nghệ Thông tin - Toán Ứng dụng, ĐH Bán công Tôn Đức Thắng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tabSelected="0" workbookViewId="0">
      <selection activeCell="A1" sqref="A1:H1"/>
    </sheetView>
  </sheetViews>
  <sheetFormatPr baseColWidth="8" defaultColWidth="14.42578125" defaultRowHeight="15" customHeight="1"/>
  <cols>
    <col width="5.7109375" bestFit="1" customWidth="1" style="3" min="1" max="1"/>
    <col width="14.140625" customWidth="1" style="3" min="2" max="2"/>
    <col width="13" customWidth="1" style="3" min="3" max="8"/>
    <col width="2.85546875" customWidth="1" style="3" min="9" max="9"/>
    <col width="2.7109375" customWidth="1" style="3" min="10" max="10"/>
    <col width="29" customWidth="1" style="3" min="11" max="11"/>
    <col width="9.42578125" customWidth="1" style="85" min="12" max="17"/>
    <col width="14.42578125" customWidth="1" style="3" min="18" max="16384"/>
  </cols>
  <sheetData>
    <row r="1" ht="35.25" customHeight="1" thickBot="1">
      <c r="A1" s="152" t="inlineStr">
        <is>
          <t>BẢNG KÊ LỢI NHUẬN TRONG NĂM 2015</t>
        </is>
      </c>
      <c r="K1" s="153" t="inlineStr">
        <is>
          <t>BẢNG THỐNG KÊ NĂM 2015</t>
        </is>
      </c>
    </row>
    <row r="2" ht="17.25" customFormat="1" customHeight="1" s="15" thickTop="1">
      <c r="A2" s="4" t="inlineStr">
        <is>
          <t>STT</t>
        </is>
      </c>
      <c r="B2" s="5" t="inlineStr">
        <is>
          <t>MÃ HÀNG</t>
        </is>
      </c>
      <c r="C2" s="5" t="inlineStr">
        <is>
          <t>THÁNG 1</t>
        </is>
      </c>
      <c r="D2" s="5" t="inlineStr">
        <is>
          <t>THÁNG 2</t>
        </is>
      </c>
      <c r="E2" s="5" t="inlineStr">
        <is>
          <t>THÁNG 3</t>
        </is>
      </c>
      <c r="F2" s="5" t="inlineStr">
        <is>
          <t>THÁNG 4</t>
        </is>
      </c>
      <c r="G2" s="5" t="inlineStr">
        <is>
          <t>THÁNG 5</t>
        </is>
      </c>
      <c r="H2" s="6" t="inlineStr">
        <is>
          <t>THÁNG 6</t>
        </is>
      </c>
      <c r="K2" s="89" t="n"/>
      <c r="L2" s="88" t="inlineStr">
        <is>
          <t>THÁNG 1</t>
        </is>
      </c>
      <c r="M2" s="86" t="inlineStr">
        <is>
          <t>THÁNG 2</t>
        </is>
      </c>
      <c r="N2" s="86" t="inlineStr">
        <is>
          <t>THÁNG 3</t>
        </is>
      </c>
      <c r="O2" s="86" t="inlineStr">
        <is>
          <t>THÁNG 4</t>
        </is>
      </c>
      <c r="P2" s="86" t="inlineStr">
        <is>
          <t>THÁNG 5</t>
        </is>
      </c>
      <c r="Q2" s="86" t="inlineStr">
        <is>
          <t>THÁNG 6</t>
        </is>
      </c>
    </row>
    <row r="3" ht="15" customFormat="1" customHeight="1" s="15">
      <c r="A3" s="8" t="n">
        <v>1</v>
      </c>
      <c r="B3" s="9" t="inlineStr">
        <is>
          <t>A1</t>
        </is>
      </c>
      <c r="C3" s="9" t="n">
        <v>-790</v>
      </c>
      <c r="D3" s="9" t="n">
        <v>-550</v>
      </c>
      <c r="E3" s="9" t="n">
        <v>20</v>
      </c>
      <c r="F3" s="9" t="n">
        <v>50</v>
      </c>
      <c r="G3" s="9" t="n">
        <v>70</v>
      </c>
      <c r="H3" s="10" t="n">
        <v>-370</v>
      </c>
      <c r="K3" s="100" t="inlineStr">
        <is>
          <t>Giá trị lỗ lớn nhất:</t>
        </is>
      </c>
      <c r="L3" s="87">
        <f>MIN(C3:C9)</f>
        <v>-920</v>
      </c>
      <c r="M3" s="87" t="n"/>
      <c r="N3" s="87" t="n"/>
      <c r="O3" s="87" t="n"/>
      <c r="P3" s="87" t="n"/>
      <c r="Q3" s="87" t="n"/>
    </row>
    <row r="4" ht="15" customFormat="1" customHeight="1" s="15">
      <c r="A4" s="8" t="n">
        <v>2</v>
      </c>
      <c r="B4" s="9" t="inlineStr">
        <is>
          <t>A2</t>
        </is>
      </c>
      <c r="C4" s="9" t="n">
        <v>-290</v>
      </c>
      <c r="D4" s="9" t="n">
        <v>-620</v>
      </c>
      <c r="E4" s="9" t="n">
        <v>120</v>
      </c>
      <c r="F4" s="9" t="n">
        <v>-700</v>
      </c>
      <c r="G4" s="9" t="n">
        <v>520</v>
      </c>
      <c r="H4" s="10" t="n">
        <v>520</v>
      </c>
      <c r="K4" s="101" t="inlineStr">
        <is>
          <t>Giá trị lãi lớn nhất:</t>
        </is>
      </c>
      <c r="L4" s="87" t="n"/>
      <c r="M4" s="87" t="n"/>
      <c r="N4" s="87">
        <f>MAX(E3:E9)</f>
        <v>840</v>
      </c>
      <c r="O4" s="87" t="n"/>
      <c r="P4" s="87" t="n"/>
      <c r="Q4" s="87" t="n"/>
    </row>
    <row r="5" ht="15" customFormat="1" customHeight="1" s="15">
      <c r="A5" s="8" t="n">
        <v>3</v>
      </c>
      <c r="B5" s="9" t="inlineStr">
        <is>
          <t>A3</t>
        </is>
      </c>
      <c r="C5" s="9" t="n">
        <v>-920</v>
      </c>
      <c r="D5" s="9" t="n">
        <v>-850</v>
      </c>
      <c r="E5" s="9" t="n">
        <v>-890</v>
      </c>
      <c r="F5" s="9" t="n">
        <v>-10</v>
      </c>
      <c r="G5" s="9" t="n">
        <v>430</v>
      </c>
      <c r="H5" s="10" t="n">
        <v>-940</v>
      </c>
      <c r="K5" s="102" t="inlineStr">
        <is>
          <t>Giá trị lợi nhuận trung bình:</t>
        </is>
      </c>
      <c r="L5" s="87" t="n"/>
      <c r="M5" s="87" t="n"/>
      <c r="N5" s="87" t="n"/>
      <c r="O5" s="87" t="n"/>
      <c r="P5" s="87">
        <f>AVERAGE(G3:G9)</f>
        <v>420</v>
      </c>
      <c r="Q5" s="87" t="n"/>
    </row>
    <row r="6" ht="15" customFormat="1" customHeight="1" s="15">
      <c r="A6" s="8" t="n">
        <v>4</v>
      </c>
      <c r="B6" s="9" t="inlineStr">
        <is>
          <t>B1</t>
        </is>
      </c>
      <c r="C6" s="9" t="n">
        <v>-630</v>
      </c>
      <c r="D6" s="9" t="n">
        <v>-550</v>
      </c>
      <c r="E6" s="9" t="n">
        <v>820</v>
      </c>
      <c r="F6" s="9" t="n">
        <v>550</v>
      </c>
      <c r="G6" s="9" t="n">
        <v>530</v>
      </c>
      <c r="H6" s="10" t="n">
        <v>-280</v>
      </c>
      <c r="L6" s="85" t="n"/>
      <c r="M6" s="85" t="n"/>
      <c r="N6" s="85" t="n"/>
      <c r="O6" s="85" t="n"/>
      <c r="P6" s="85" t="n"/>
      <c r="Q6" s="85" t="n"/>
    </row>
    <row r="7" ht="15" customFormat="1" customHeight="1" s="15">
      <c r="A7" s="8" t="n">
        <v>5</v>
      </c>
      <c r="B7" s="9" t="inlineStr">
        <is>
          <t>B2</t>
        </is>
      </c>
      <c r="C7" s="9" t="n">
        <v>230</v>
      </c>
      <c r="D7" s="9" t="n">
        <v>60</v>
      </c>
      <c r="E7" s="9" t="n">
        <v>840</v>
      </c>
      <c r="F7" s="9" t="n">
        <v>-590</v>
      </c>
      <c r="G7" s="9" t="n">
        <v>740</v>
      </c>
      <c r="H7" s="10" t="n">
        <v>540</v>
      </c>
      <c r="L7" s="85" t="n"/>
      <c r="M7" s="85" t="n"/>
      <c r="N7" s="85" t="n"/>
      <c r="O7" s="85" t="n"/>
      <c r="P7" s="85" t="n"/>
      <c r="Q7" s="85" t="n"/>
    </row>
    <row r="8" ht="15" customFormat="1" customHeight="1" s="15">
      <c r="A8" s="8" t="n">
        <v>6</v>
      </c>
      <c r="B8" s="9" t="inlineStr">
        <is>
          <t>B3</t>
        </is>
      </c>
      <c r="C8" s="9" t="n">
        <v>-760</v>
      </c>
      <c r="D8" s="9" t="n">
        <v>-560</v>
      </c>
      <c r="E8" s="9" t="n">
        <v>540</v>
      </c>
      <c r="F8" s="9" t="n">
        <v>200</v>
      </c>
      <c r="G8" s="9" t="n">
        <v>-40</v>
      </c>
      <c r="H8" s="10" t="n">
        <v>-710</v>
      </c>
      <c r="L8" s="85" t="n"/>
      <c r="M8" s="85" t="n"/>
      <c r="N8" s="85" t="n"/>
      <c r="O8" s="85" t="n"/>
      <c r="P8" s="85" t="n"/>
      <c r="Q8" s="85" t="n"/>
    </row>
    <row r="9" ht="15" customFormat="1" customHeight="1" s="15" thickBot="1">
      <c r="A9" s="11" t="n">
        <v>7</v>
      </c>
      <c r="B9" s="12" t="inlineStr">
        <is>
          <t>B4</t>
        </is>
      </c>
      <c r="C9" s="12" t="n">
        <v>350</v>
      </c>
      <c r="D9" s="12" t="n">
        <v>-760</v>
      </c>
      <c r="E9" s="12" t="n">
        <v>-390</v>
      </c>
      <c r="F9" s="12" t="n">
        <v>-550</v>
      </c>
      <c r="G9" s="12" t="n">
        <v>690</v>
      </c>
      <c r="H9" s="13" t="n">
        <v>520</v>
      </c>
      <c r="L9" s="85" t="n"/>
      <c r="M9" s="85" t="n"/>
      <c r="N9" s="85" t="n"/>
      <c r="O9" s="85" t="n"/>
      <c r="P9" s="85" t="n"/>
      <c r="Q9" s="85" t="n"/>
    </row>
    <row r="10" ht="17.25" customFormat="1" customHeight="1" s="15" thickTop="1">
      <c r="A10" s="82" t="n"/>
      <c r="C10" s="83" t="n"/>
      <c r="E10" s="83" t="n"/>
      <c r="F10" s="82" t="n"/>
      <c r="G10" s="83" t="n"/>
      <c r="H10" s="82" t="n"/>
      <c r="L10" s="85" t="n"/>
      <c r="M10" s="85" t="n"/>
      <c r="N10" s="85" t="n"/>
      <c r="O10" s="85" t="n"/>
      <c r="P10" s="85" t="n"/>
      <c r="Q10" s="85" t="n"/>
    </row>
    <row r="11" ht="15.75" customHeight="1">
      <c r="A11" s="109" t="n"/>
      <c r="B11" s="109" t="n"/>
      <c r="C11" s="109" t="n"/>
      <c r="D11" s="109" t="n"/>
      <c r="E11" s="109" t="n"/>
      <c r="F11" s="109" t="n"/>
      <c r="G11" s="109" t="n"/>
      <c r="H11" s="109" t="n"/>
    </row>
    <row r="14" ht="38.25" customHeight="1" thickBot="1">
      <c r="A14" s="152" t="inlineStr">
        <is>
          <t>BẢNG KÊ LỢI NHUẬN TRONG NĂM 2016</t>
        </is>
      </c>
    </row>
    <row r="15" ht="30.75" customHeight="1" thickTop="1">
      <c r="A15" s="4" t="inlineStr">
        <is>
          <t>STT</t>
        </is>
      </c>
      <c r="B15" s="5" t="inlineStr">
        <is>
          <t>MÃ HÀNG</t>
        </is>
      </c>
      <c r="C15" s="5" t="inlineStr">
        <is>
          <t>THÁNG 1</t>
        </is>
      </c>
      <c r="D15" s="5" t="inlineStr">
        <is>
          <t>THÁNG 2</t>
        </is>
      </c>
      <c r="E15" s="5" t="inlineStr">
        <is>
          <t>THÁNG 3</t>
        </is>
      </c>
      <c r="F15" s="5" t="inlineStr">
        <is>
          <t>THÁNG 4</t>
        </is>
      </c>
      <c r="G15" s="5" t="inlineStr">
        <is>
          <t>THÁNG 5</t>
        </is>
      </c>
      <c r="H15" s="6" t="inlineStr">
        <is>
          <t>THÁNG 6</t>
        </is>
      </c>
    </row>
    <row r="16" ht="15" customHeight="1">
      <c r="A16" s="8" t="n">
        <v>1</v>
      </c>
      <c r="B16" s="9" t="inlineStr">
        <is>
          <t>A1</t>
        </is>
      </c>
      <c r="C16" s="9" t="n">
        <v>-780</v>
      </c>
      <c r="D16" s="9" t="n">
        <v>-540</v>
      </c>
      <c r="E16" s="9" t="n">
        <v>30</v>
      </c>
      <c r="F16" s="9" t="n">
        <v>60</v>
      </c>
      <c r="G16" s="9" t="n">
        <v>80</v>
      </c>
      <c r="H16" s="90" t="n">
        <v>-360</v>
      </c>
    </row>
    <row r="17" ht="15" customHeight="1">
      <c r="A17" s="8" t="n">
        <v>2</v>
      </c>
      <c r="B17" s="9" t="inlineStr">
        <is>
          <t>A2</t>
        </is>
      </c>
      <c r="C17" s="9" t="n">
        <v>-280</v>
      </c>
      <c r="D17" s="9" t="n">
        <v>-610</v>
      </c>
      <c r="E17" s="9" t="n">
        <v>130</v>
      </c>
      <c r="F17" s="9" t="n">
        <v>-690</v>
      </c>
      <c r="G17" s="9" t="n">
        <v>530</v>
      </c>
      <c r="H17" s="90" t="n">
        <v>530</v>
      </c>
    </row>
    <row r="18" ht="15" customHeight="1">
      <c r="A18" s="8" t="n">
        <v>3</v>
      </c>
      <c r="B18" s="9" t="inlineStr">
        <is>
          <t>A3</t>
        </is>
      </c>
      <c r="C18" s="9" t="n">
        <v>-910</v>
      </c>
      <c r="D18" s="9" t="n">
        <v>-840</v>
      </c>
      <c r="E18" s="9" t="n">
        <v>-880</v>
      </c>
      <c r="F18" s="9" t="n">
        <v>0</v>
      </c>
      <c r="G18" s="9" t="n">
        <v>440</v>
      </c>
      <c r="H18" s="90" t="n">
        <v>-930</v>
      </c>
    </row>
    <row r="19" ht="15" customHeight="1">
      <c r="A19" s="8" t="n">
        <v>4</v>
      </c>
      <c r="B19" s="9" t="inlineStr">
        <is>
          <t>B1</t>
        </is>
      </c>
      <c r="C19" s="9" t="n">
        <v>-620</v>
      </c>
      <c r="D19" s="9" t="n">
        <v>-540</v>
      </c>
      <c r="E19" s="9" t="n">
        <v>830</v>
      </c>
      <c r="F19" s="9" t="n">
        <v>560</v>
      </c>
      <c r="G19" s="9" t="n">
        <v>540</v>
      </c>
      <c r="H19" s="90" t="n">
        <v>-270</v>
      </c>
    </row>
    <row r="20" ht="15" customHeight="1">
      <c r="A20" s="8" t="n">
        <v>5</v>
      </c>
      <c r="B20" s="9" t="inlineStr">
        <is>
          <t>B2</t>
        </is>
      </c>
      <c r="C20" s="9" t="n">
        <v>240</v>
      </c>
      <c r="D20" s="9" t="n">
        <v>70</v>
      </c>
      <c r="E20" s="9" t="n">
        <v>850</v>
      </c>
      <c r="F20" s="9" t="n">
        <v>-580</v>
      </c>
      <c r="G20" s="9" t="n">
        <v>750</v>
      </c>
      <c r="H20" s="90" t="n">
        <v>550</v>
      </c>
    </row>
    <row r="21" ht="15" customHeight="1">
      <c r="A21" s="8" t="n">
        <v>6</v>
      </c>
      <c r="B21" s="9" t="inlineStr">
        <is>
          <t>B3</t>
        </is>
      </c>
      <c r="C21" s="9" t="n">
        <v>-750</v>
      </c>
      <c r="D21" s="9" t="n">
        <v>-550</v>
      </c>
      <c r="E21" s="9" t="n">
        <v>550</v>
      </c>
      <c r="F21" s="9" t="n">
        <v>210</v>
      </c>
      <c r="G21" s="9" t="n">
        <v>-30</v>
      </c>
      <c r="H21" s="90" t="n">
        <v>-700</v>
      </c>
    </row>
    <row r="22" ht="15" customHeight="1" thickBot="1">
      <c r="A22" s="11" t="n">
        <v>7</v>
      </c>
      <c r="B22" s="12" t="inlineStr">
        <is>
          <t>B4</t>
        </is>
      </c>
      <c r="C22" s="12" t="n">
        <v>360</v>
      </c>
      <c r="D22" s="12" t="n">
        <v>-750</v>
      </c>
      <c r="E22" s="12" t="n">
        <v>-380</v>
      </c>
      <c r="F22" s="12" t="n">
        <v>-540</v>
      </c>
      <c r="G22" s="12" t="n">
        <v>700</v>
      </c>
      <c r="H22" s="13" t="n">
        <v>530</v>
      </c>
    </row>
    <row r="23" ht="15" customHeight="1" thickTop="1"/>
  </sheetData>
  <mergeCells count="3">
    <mergeCell ref="A1:H1"/>
    <mergeCell ref="A14:H14"/>
    <mergeCell ref="K1:Q1"/>
  </mergeCell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0" workbookViewId="0">
      <selection activeCell="A1" sqref="A1:H1"/>
    </sheetView>
  </sheetViews>
  <sheetFormatPr baseColWidth="8" defaultColWidth="14.42578125" defaultRowHeight="15" customHeight="1"/>
  <cols>
    <col width="5.7109375" bestFit="1" customWidth="1" style="3" min="1" max="1"/>
    <col width="13.7109375" customWidth="1" style="3" min="2" max="2"/>
    <col width="12.5703125" customWidth="1" style="3" min="3" max="8"/>
    <col width="8.7109375" customWidth="1" style="3" min="9" max="9"/>
    <col width="10.28515625" customWidth="1" style="3" min="10" max="10"/>
    <col width="14.42578125" customWidth="1" style="3" min="11" max="16384"/>
  </cols>
  <sheetData>
    <row r="1" ht="34.5" customHeight="1" thickBot="1">
      <c r="A1" s="152" t="inlineStr">
        <is>
          <t>BẢNG KÊ TỔNG LỢI NHUẬN TRONG 2 NĂM</t>
        </is>
      </c>
    </row>
    <row r="2" ht="17.25" customFormat="1" customHeight="1" s="15" thickTop="1">
      <c r="A2" s="4" t="inlineStr">
        <is>
          <t>STT</t>
        </is>
      </c>
      <c r="B2" s="5" t="inlineStr">
        <is>
          <t>MÃ HÀNG</t>
        </is>
      </c>
      <c r="C2" s="5" t="inlineStr">
        <is>
          <t>THÁNG 1</t>
        </is>
      </c>
      <c r="D2" s="5" t="inlineStr">
        <is>
          <t>THÁNG 2</t>
        </is>
      </c>
      <c r="E2" s="5" t="inlineStr">
        <is>
          <t>THÁNG 3</t>
        </is>
      </c>
      <c r="F2" s="5" t="inlineStr">
        <is>
          <t>THÁNG 4</t>
        </is>
      </c>
      <c r="G2" s="5" t="inlineStr">
        <is>
          <t>THÁNG 5</t>
        </is>
      </c>
      <c r="H2" s="6" t="inlineStr">
        <is>
          <t>THÁNG 6</t>
        </is>
      </c>
    </row>
    <row r="3" ht="15" customFormat="1" customHeight="1" s="15">
      <c r="A3" s="8" t="n">
        <v>1</v>
      </c>
      <c r="B3" s="9" t="inlineStr">
        <is>
          <t>A1</t>
        </is>
      </c>
      <c r="C3" s="40">
        <f>'bai 4'!C3+'bai 4'!C16</f>
        <v>-1570</v>
      </c>
      <c r="D3" s="9">
        <f>'bai 4'!D3+'bai 4'!D16</f>
        <v>-1090</v>
      </c>
      <c r="E3" s="9">
        <f>'bai 4'!E3+'bai 4'!E16</f>
        <v>50</v>
      </c>
      <c r="F3" s="9">
        <f>'bai 4'!F3+'bai 4'!F16</f>
        <v>110</v>
      </c>
      <c r="G3" s="9">
        <f>'bai 4'!G3+'bai 4'!G16</f>
        <v>150</v>
      </c>
      <c r="H3" s="10">
        <f>'bai 4'!H3+'bai 4'!H16</f>
        <v>-730</v>
      </c>
    </row>
    <row r="4" ht="15" customFormat="1" customHeight="1" s="15">
      <c r="A4" s="8" t="n">
        <v>2</v>
      </c>
      <c r="B4" s="9" t="inlineStr">
        <is>
          <t>A2</t>
        </is>
      </c>
      <c r="C4" s="9">
        <f>'bai 4'!C4+'bai 4'!C17</f>
        <v>-570</v>
      </c>
      <c r="D4" s="9">
        <f>'bai 4'!D4+'bai 4'!D17</f>
        <v>-1230</v>
      </c>
      <c r="E4" s="9">
        <f>'bai 4'!E4+'bai 4'!E17</f>
        <v>250</v>
      </c>
      <c r="F4" s="9">
        <f>'bai 4'!F4+'bai 4'!F17</f>
        <v>-1390</v>
      </c>
      <c r="G4" s="9">
        <f>'bai 4'!G4+'bai 4'!G17</f>
        <v>1050</v>
      </c>
      <c r="H4" s="10">
        <f>'bai 4'!H4+'bai 4'!H17</f>
        <v>1050</v>
      </c>
    </row>
    <row r="5" ht="15" customFormat="1" customHeight="1" s="15">
      <c r="A5" s="8" t="n">
        <v>3</v>
      </c>
      <c r="B5" s="9" t="inlineStr">
        <is>
          <t>A3</t>
        </is>
      </c>
      <c r="C5" s="9">
        <f>'bai 4'!C5+'bai 4'!C18</f>
        <v>-1830</v>
      </c>
      <c r="D5" s="9">
        <f>'bai 4'!D5+'bai 4'!D18</f>
        <v>-1690</v>
      </c>
      <c r="E5" s="9">
        <f>'bai 4'!E5+'bai 4'!E18</f>
        <v>-1770</v>
      </c>
      <c r="F5" s="9">
        <f>'bai 4'!F5+'bai 4'!F18</f>
        <v>-10</v>
      </c>
      <c r="G5" s="9">
        <f>'bai 4'!G5+'bai 4'!G18</f>
        <v>870</v>
      </c>
      <c r="H5" s="10">
        <f>'bai 4'!H5+'bai 4'!H18</f>
        <v>-1870</v>
      </c>
    </row>
    <row r="6" ht="15" customFormat="1" customHeight="1" s="15">
      <c r="A6" s="8" t="n">
        <v>4</v>
      </c>
      <c r="B6" s="9" t="inlineStr">
        <is>
          <t>B1</t>
        </is>
      </c>
      <c r="C6" s="9">
        <f>'bai 4'!C6+'bai 4'!C19</f>
        <v>-1250</v>
      </c>
      <c r="D6" s="9">
        <f>'bai 4'!D6+'bai 4'!D19</f>
        <v>-1090</v>
      </c>
      <c r="E6" s="9">
        <f>'bai 4'!E6+'bai 4'!E19</f>
        <v>1650</v>
      </c>
      <c r="F6" s="9">
        <f>'bai 4'!F6+'bai 4'!F19</f>
        <v>1110</v>
      </c>
      <c r="G6" s="9">
        <f>'bai 4'!G6+'bai 4'!G19</f>
        <v>1070</v>
      </c>
      <c r="H6" s="10">
        <f>'bai 4'!H6+'bai 4'!H19</f>
        <v>-550</v>
      </c>
    </row>
    <row r="7" ht="15" customFormat="1" customHeight="1" s="15">
      <c r="A7" s="8" t="n">
        <v>5</v>
      </c>
      <c r="B7" s="9" t="inlineStr">
        <is>
          <t>B2</t>
        </is>
      </c>
      <c r="C7" s="9">
        <f>'bai 4'!C7+'bai 4'!C20</f>
        <v>470</v>
      </c>
      <c r="D7" s="9">
        <f>'bai 4'!D7+'bai 4'!D20</f>
        <v>130</v>
      </c>
      <c r="E7" s="9">
        <f>'bai 4'!E7+'bai 4'!E20</f>
        <v>1690</v>
      </c>
      <c r="F7" s="9">
        <f>'bai 4'!F7+'bai 4'!F20</f>
        <v>-1170</v>
      </c>
      <c r="G7" s="9">
        <f>'bai 4'!G7+'bai 4'!G20</f>
        <v>1490</v>
      </c>
      <c r="H7" s="10">
        <f>'bai 4'!H7+'bai 4'!H20</f>
        <v>1090</v>
      </c>
    </row>
    <row r="8" ht="15" customFormat="1" customHeight="1" s="15">
      <c r="A8" s="8" t="n">
        <v>6</v>
      </c>
      <c r="B8" s="9" t="inlineStr">
        <is>
          <t>B3</t>
        </is>
      </c>
      <c r="C8" s="9">
        <f>'bai 4'!C8+'bai 4'!C21</f>
        <v>-1510</v>
      </c>
      <c r="D8" s="9">
        <f>'bai 4'!D8+'bai 4'!D21</f>
        <v>-1110</v>
      </c>
      <c r="E8" s="9">
        <f>'bai 4'!E8+'bai 4'!E21</f>
        <v>1090</v>
      </c>
      <c r="F8" s="9">
        <f>'bai 4'!F8+'bai 4'!F21</f>
        <v>410</v>
      </c>
      <c r="G8" s="9">
        <f>'bai 4'!G8+'bai 4'!G21</f>
        <v>-70</v>
      </c>
      <c r="H8" s="10">
        <f>'bai 4'!H8+'bai 4'!H21</f>
        <v>-1410</v>
      </c>
    </row>
    <row r="9" ht="15" customFormat="1" customHeight="1" s="15" thickBot="1">
      <c r="A9" s="11" t="n">
        <v>7</v>
      </c>
      <c r="B9" s="12" t="inlineStr">
        <is>
          <t>B4</t>
        </is>
      </c>
      <c r="C9" s="12">
        <f>'bai 4'!C9+'bai 4'!C22</f>
        <v>710</v>
      </c>
      <c r="D9" s="12">
        <f>'bai 4'!D9+'bai 4'!D22</f>
        <v>-1510</v>
      </c>
      <c r="E9" s="12">
        <f>'bai 4'!E9+'bai 4'!E22</f>
        <v>-770</v>
      </c>
      <c r="F9" s="12">
        <f>'bai 4'!F9+'bai 4'!F22</f>
        <v>-1090</v>
      </c>
      <c r="G9" s="12">
        <f>'bai 4'!G9+'bai 4'!G22</f>
        <v>1390</v>
      </c>
      <c r="H9" s="13">
        <f>'bai 4'!H9+'bai 4'!H22</f>
        <v>1050</v>
      </c>
    </row>
    <row r="10" ht="15.75" customHeight="1" thickTop="1">
      <c r="I10" s="3" t="n"/>
      <c r="J10" s="3" t="n"/>
    </row>
  </sheetData>
  <mergeCells count="1">
    <mergeCell ref="A1:H1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1"/>
  <sheetViews>
    <sheetView tabSelected="0" workbookViewId="0">
      <selection activeCell="A1" sqref="A1"/>
    </sheetView>
  </sheetViews>
  <sheetFormatPr baseColWidth="8" defaultRowHeight="15.75"/>
  <cols>
    <col width="6" customWidth="1" style="105" min="1" max="1"/>
    <col width="11" customWidth="1" style="105" min="2" max="2"/>
    <col width="7.28515625" customWidth="1" style="105" min="3" max="3"/>
    <col width="13.7109375" customWidth="1" style="105" min="4" max="4"/>
    <col width="14" bestFit="1" customWidth="1" style="105" min="5" max="6"/>
    <col width="13.5703125" customWidth="1" style="105" min="7" max="7"/>
    <col width="13.7109375" customWidth="1" style="105" min="8" max="8"/>
    <col width="18.85546875" customWidth="1" style="105" min="9" max="9"/>
    <col width="10.140625" customWidth="1" style="105" min="10" max="10"/>
    <col width="7.5703125" customWidth="1" style="105" min="11" max="11"/>
    <col width="13" customWidth="1" style="105" min="12" max="12"/>
    <col width="11" customWidth="1" style="105" min="13" max="13"/>
    <col width="9.140625" customWidth="1" style="105" min="14" max="16384"/>
  </cols>
  <sheetData>
    <row r="1">
      <c r="A1" s="103" t="n"/>
      <c r="B1" s="104" t="n"/>
      <c r="C1" s="104" t="n"/>
      <c r="D1" s="104" t="n"/>
      <c r="E1" s="104" t="n"/>
      <c r="F1" s="104" t="n"/>
      <c r="G1" s="104" t="n"/>
      <c r="H1" s="104" t="n"/>
    </row>
    <row r="2">
      <c r="A2" s="104" t="n"/>
      <c r="B2" s="104" t="n"/>
      <c r="C2" s="104" t="n"/>
      <c r="D2" s="104" t="n"/>
      <c r="E2" s="104" t="n"/>
      <c r="F2" s="104" t="n"/>
    </row>
    <row r="3" ht="45.75" customHeight="1">
      <c r="A3" s="154" t="inlineStr">
        <is>
          <t>PHIẾU GIAO NHẬN</t>
        </is>
      </c>
    </row>
    <row r="4" ht="12.75" customHeight="1">
      <c r="A4" s="106" t="n"/>
      <c r="B4" s="106" t="n"/>
      <c r="C4" s="106" t="n"/>
      <c r="D4" s="106" t="n"/>
      <c r="E4" s="106" t="n"/>
      <c r="F4" s="106" t="n"/>
      <c r="G4" s="106" t="n"/>
      <c r="H4" s="106" t="n"/>
      <c r="I4" s="106" t="n"/>
      <c r="J4" s="106" t="n"/>
      <c r="K4" s="106" t="n"/>
      <c r="L4" s="106" t="n"/>
      <c r="M4" s="106" t="n"/>
    </row>
    <row r="5" ht="31.5" customHeight="1">
      <c r="A5" s="107" t="inlineStr">
        <is>
          <t>STT</t>
        </is>
      </c>
      <c r="B5" s="107" t="inlineStr">
        <is>
          <t>SỐ HÓA ĐƠN</t>
        </is>
      </c>
      <c r="C5" s="107" t="inlineStr">
        <is>
          <t>MÃ SP</t>
        </is>
      </c>
      <c r="D5" s="107" t="inlineStr">
        <is>
          <t>TÊN
SP</t>
        </is>
      </c>
      <c r="E5" s="107" t="inlineStr">
        <is>
          <t>NGÀY ĐẶT HÀNG</t>
        </is>
      </c>
      <c r="F5" s="107" t="inlineStr">
        <is>
          <t>NGÀY GIAO HÀNG</t>
        </is>
      </c>
      <c r="G5" s="107" t="inlineStr">
        <is>
          <t>MÃ NƠI ĐẶT HÀNG</t>
        </is>
      </c>
      <c r="H5" s="107" t="inlineStr">
        <is>
          <t>NƠI ĐẶT HÀNG</t>
        </is>
      </c>
      <c r="I5" s="107" t="inlineStr">
        <is>
          <t>PHƯƠNG PHÁP VẬN CHUYỂN</t>
        </is>
      </c>
      <c r="J5" s="107" t="inlineStr">
        <is>
          <t>SỐ LƯỢNG</t>
        </is>
      </c>
      <c r="K5" s="107" t="inlineStr">
        <is>
          <t>ĐƠN GIÁ</t>
        </is>
      </c>
      <c r="L5" s="107" t="inlineStr">
        <is>
          <t>KHUYẾN
MÃI</t>
        </is>
      </c>
      <c r="M5" s="107" t="inlineStr">
        <is>
          <t>THÀNH
TIỀN</t>
        </is>
      </c>
      <c r="O5" s="108" t="n"/>
      <c r="P5" s="109" t="n"/>
    </row>
    <row r="6">
      <c r="A6" s="114" t="n">
        <v>1</v>
      </c>
      <c r="B6" s="111" t="inlineStr">
        <is>
          <t>001</t>
        </is>
      </c>
      <c r="C6" s="114" t="inlineStr">
        <is>
          <t>XB</t>
        </is>
      </c>
      <c r="D6" s="112" t="inlineStr">
        <is>
          <t>Xà bông</t>
        </is>
      </c>
      <c r="E6" s="113" t="n">
        <v>42380</v>
      </c>
      <c r="F6" s="113" t="n">
        <v>42385</v>
      </c>
      <c r="G6" s="112" t="inlineStr">
        <is>
          <t>A</t>
        </is>
      </c>
      <c r="H6" s="112" t="inlineStr">
        <is>
          <t>Trong TP</t>
        </is>
      </c>
      <c r="I6" s="112" t="inlineStr">
        <is>
          <t>Xe máy</t>
        </is>
      </c>
      <c r="J6" s="114" t="n">
        <v>4</v>
      </c>
      <c r="K6" s="112" t="n">
        <v>4200</v>
      </c>
      <c r="L6" s="114" t="n">
        <v>0</v>
      </c>
      <c r="M6" s="114" t="n">
        <v>16800</v>
      </c>
      <c r="O6" s="108" t="n"/>
      <c r="P6" s="109" t="n"/>
    </row>
    <row r="7">
      <c r="A7" s="114" t="n">
        <v>2</v>
      </c>
      <c r="B7" s="111" t="inlineStr">
        <is>
          <t>002</t>
        </is>
      </c>
      <c r="C7" s="114" t="inlineStr">
        <is>
          <t>BN</t>
        </is>
      </c>
      <c r="D7" s="112" t="inlineStr">
        <is>
          <t>Bột ngọt</t>
        </is>
      </c>
      <c r="E7" s="113" t="n">
        <v>42387</v>
      </c>
      <c r="F7" s="113" t="n">
        <v>42392</v>
      </c>
      <c r="G7" s="112" t="inlineStr">
        <is>
          <t>C</t>
        </is>
      </c>
      <c r="H7" s="112" t="inlineStr">
        <is>
          <t>Tỉnh MN</t>
        </is>
      </c>
      <c r="I7" s="112" t="inlineStr">
        <is>
          <t>Xe tải</t>
        </is>
      </c>
      <c r="J7" s="114" t="n">
        <v>36</v>
      </c>
      <c r="K7" s="112" t="n">
        <v>2500</v>
      </c>
      <c r="L7" s="114" t="n">
        <v>5</v>
      </c>
      <c r="M7" s="114" t="n">
        <v>77500</v>
      </c>
      <c r="O7" s="108" t="n"/>
      <c r="P7" s="109" t="n"/>
    </row>
    <row r="8">
      <c r="A8" s="114" t="n">
        <v>3</v>
      </c>
      <c r="B8" s="111" t="inlineStr">
        <is>
          <t>003</t>
        </is>
      </c>
      <c r="C8" s="114" t="inlineStr">
        <is>
          <t>C</t>
        </is>
      </c>
      <c r="D8" s="112" t="inlineStr">
        <is>
          <t>Cà phê</t>
        </is>
      </c>
      <c r="E8" s="113" t="n">
        <v>42387</v>
      </c>
      <c r="F8" s="113" t="n">
        <v>42399</v>
      </c>
      <c r="G8" s="112" t="inlineStr">
        <is>
          <t>B</t>
        </is>
      </c>
      <c r="H8" s="112" t="inlineStr">
        <is>
          <t>Ngoài TP</t>
        </is>
      </c>
      <c r="I8" s="112" t="inlineStr">
        <is>
          <t>Xe bán tải</t>
        </is>
      </c>
      <c r="J8" s="114" t="n">
        <v>39</v>
      </c>
      <c r="K8" s="112" t="n">
        <v>3000</v>
      </c>
      <c r="L8" s="114" t="n">
        <v>5</v>
      </c>
      <c r="M8" s="114" t="n">
        <v>102000</v>
      </c>
      <c r="O8" s="108" t="n"/>
      <c r="P8" s="109" t="n"/>
    </row>
    <row r="9">
      <c r="A9" s="114" t="n">
        <v>4</v>
      </c>
      <c r="B9" s="111" t="inlineStr">
        <is>
          <t>004</t>
        </is>
      </c>
      <c r="C9" s="114" t="inlineStr">
        <is>
          <t>XB</t>
        </is>
      </c>
      <c r="D9" s="112" t="inlineStr">
        <is>
          <t>Xà bông</t>
        </is>
      </c>
      <c r="E9" s="113" t="n">
        <v>42394</v>
      </c>
      <c r="F9" s="113" t="n">
        <v>42403</v>
      </c>
      <c r="G9" s="112" t="inlineStr">
        <is>
          <t>A</t>
        </is>
      </c>
      <c r="H9" s="112" t="inlineStr">
        <is>
          <t>Trong TP</t>
        </is>
      </c>
      <c r="I9" s="112" t="inlineStr">
        <is>
          <t>Xe máy</t>
        </is>
      </c>
      <c r="J9" s="114" t="n">
        <v>25</v>
      </c>
      <c r="K9" s="112" t="n">
        <v>4200</v>
      </c>
      <c r="L9" s="114" t="n">
        <v>5</v>
      </c>
      <c r="M9" s="114" t="n">
        <v>84000</v>
      </c>
      <c r="O9" s="108" t="n"/>
      <c r="P9" s="109" t="n"/>
    </row>
    <row r="10">
      <c r="A10" s="114" t="n">
        <v>5</v>
      </c>
      <c r="B10" s="111" t="inlineStr">
        <is>
          <t>005</t>
        </is>
      </c>
      <c r="C10" s="114" t="inlineStr">
        <is>
          <t>BN</t>
        </is>
      </c>
      <c r="D10" s="112" t="inlineStr">
        <is>
          <t>Bột ngọt</t>
        </is>
      </c>
      <c r="E10" s="113" t="n">
        <v>42395</v>
      </c>
      <c r="F10" s="113" t="n">
        <v>42405</v>
      </c>
      <c r="G10" s="112" t="inlineStr">
        <is>
          <t>B</t>
        </is>
      </c>
      <c r="H10" s="112" t="inlineStr">
        <is>
          <t>Ngoài TP</t>
        </is>
      </c>
      <c r="I10" s="112" t="inlineStr">
        <is>
          <t>Xe bán tải</t>
        </is>
      </c>
      <c r="J10" s="114" t="n">
        <v>11</v>
      </c>
      <c r="K10" s="112" t="n">
        <v>2500</v>
      </c>
      <c r="L10" s="114" t="n">
        <v>2</v>
      </c>
      <c r="M10" s="114" t="n">
        <v>22500</v>
      </c>
      <c r="O10" s="108" t="n"/>
      <c r="P10" s="109" t="n"/>
    </row>
    <row r="11">
      <c r="A11" s="114" t="n">
        <v>6</v>
      </c>
      <c r="B11" s="111" t="inlineStr">
        <is>
          <t>006</t>
        </is>
      </c>
      <c r="C11" s="114" t="inlineStr">
        <is>
          <t>T</t>
        </is>
      </c>
      <c r="D11" s="112" t="inlineStr">
        <is>
          <t>Trà lài</t>
        </is>
      </c>
      <c r="E11" s="113" t="n">
        <v>42399</v>
      </c>
      <c r="F11" s="113" t="n">
        <v>42407</v>
      </c>
      <c r="G11" s="112" t="inlineStr">
        <is>
          <t>C</t>
        </is>
      </c>
      <c r="H11" s="112" t="inlineStr">
        <is>
          <t>Tỉnh MN</t>
        </is>
      </c>
      <c r="I11" s="112" t="inlineStr">
        <is>
          <t>Xe tải</t>
        </is>
      </c>
      <c r="J11" s="114" t="n">
        <v>30</v>
      </c>
      <c r="K11" s="112" t="n">
        <v>1000</v>
      </c>
      <c r="L11" s="114" t="n">
        <v>5</v>
      </c>
      <c r="M11" s="114" t="n">
        <v>25000</v>
      </c>
      <c r="O11" s="108" t="n"/>
      <c r="P11" s="109" t="n"/>
    </row>
    <row r="12">
      <c r="A12" s="114" t="n">
        <v>7</v>
      </c>
      <c r="B12" s="111" t="inlineStr">
        <is>
          <t>007</t>
        </is>
      </c>
      <c r="C12" s="114" t="inlineStr">
        <is>
          <t>C</t>
        </is>
      </c>
      <c r="D12" s="112" t="inlineStr">
        <is>
          <t>Cà phê</t>
        </is>
      </c>
      <c r="E12" s="113" t="n">
        <v>42403</v>
      </c>
      <c r="F12" s="113" t="n">
        <v>42409</v>
      </c>
      <c r="G12" s="112" t="inlineStr">
        <is>
          <t>A</t>
        </is>
      </c>
      <c r="H12" s="112" t="inlineStr">
        <is>
          <t>Trong TP</t>
        </is>
      </c>
      <c r="I12" s="112" t="inlineStr">
        <is>
          <t>Xe máy</t>
        </is>
      </c>
      <c r="J12" s="114" t="n">
        <v>43</v>
      </c>
      <c r="K12" s="112" t="n">
        <v>3000</v>
      </c>
      <c r="L12" s="114" t="n">
        <v>5</v>
      </c>
      <c r="M12" s="114" t="n">
        <v>114000</v>
      </c>
      <c r="O12" s="108" t="n"/>
      <c r="P12" s="109" t="n"/>
    </row>
    <row r="13">
      <c r="A13" s="114" t="n">
        <v>8</v>
      </c>
      <c r="B13" s="111" t="inlineStr">
        <is>
          <t>008</t>
        </is>
      </c>
      <c r="C13" s="114" t="inlineStr">
        <is>
          <t>S</t>
        </is>
      </c>
      <c r="D13" s="112" t="inlineStr">
        <is>
          <t>Súp Knor</t>
        </is>
      </c>
      <c r="E13" s="113" t="n">
        <v>42407</v>
      </c>
      <c r="F13" s="113" t="n">
        <v>42411</v>
      </c>
      <c r="G13" s="112" t="inlineStr">
        <is>
          <t>A</t>
        </is>
      </c>
      <c r="H13" s="112" t="inlineStr">
        <is>
          <t>Trong TP</t>
        </is>
      </c>
      <c r="I13" s="112" t="inlineStr">
        <is>
          <t>Xe máy</t>
        </is>
      </c>
      <c r="J13" s="114" t="n">
        <v>34</v>
      </c>
      <c r="K13" s="112" t="n">
        <v>4350</v>
      </c>
      <c r="L13" s="114" t="n">
        <v>5</v>
      </c>
      <c r="M13" s="114" t="n">
        <v>126150</v>
      </c>
      <c r="O13" s="108" t="n"/>
      <c r="P13" s="109" t="n"/>
    </row>
    <row r="14">
      <c r="A14" s="114" t="n">
        <v>9</v>
      </c>
      <c r="B14" s="111" t="inlineStr">
        <is>
          <t>009</t>
        </is>
      </c>
      <c r="C14" s="114" t="inlineStr">
        <is>
          <t>G</t>
        </is>
      </c>
      <c r="D14" s="112" t="inlineStr">
        <is>
          <t>Gạo</t>
        </is>
      </c>
      <c r="E14" s="113" t="n">
        <v>42409</v>
      </c>
      <c r="F14" s="113" t="n">
        <v>42413</v>
      </c>
      <c r="G14" s="112" t="inlineStr">
        <is>
          <t>D</t>
        </is>
      </c>
      <c r="H14" s="112" t="inlineStr">
        <is>
          <t>Tỉnh MB</t>
        </is>
      </c>
      <c r="I14" s="112" t="inlineStr">
        <is>
          <t>Xe lửa</t>
        </is>
      </c>
      <c r="J14" s="114" t="n">
        <v>18</v>
      </c>
      <c r="K14" s="112" t="n">
        <v>1600</v>
      </c>
      <c r="L14" s="114" t="n">
        <v>3</v>
      </c>
      <c r="M14" s="114" t="n">
        <v>24000</v>
      </c>
      <c r="O14" s="108" t="n"/>
      <c r="P14" s="109" t="n"/>
    </row>
    <row r="15">
      <c r="A15" s="114" t="n">
        <v>10</v>
      </c>
      <c r="B15" s="111" t="inlineStr">
        <is>
          <t>010</t>
        </is>
      </c>
      <c r="C15" s="114" t="inlineStr">
        <is>
          <t>T</t>
        </is>
      </c>
      <c r="D15" s="112" t="inlineStr">
        <is>
          <t>Trà lài</t>
        </is>
      </c>
      <c r="E15" s="113" t="n">
        <v>42415</v>
      </c>
      <c r="F15" s="113" t="n">
        <v>42415</v>
      </c>
      <c r="G15" s="112" t="inlineStr">
        <is>
          <t>C</t>
        </is>
      </c>
      <c r="H15" s="112" t="inlineStr">
        <is>
          <t>Tỉnh MN</t>
        </is>
      </c>
      <c r="I15" s="112" t="inlineStr">
        <is>
          <t>Xe tải</t>
        </is>
      </c>
      <c r="J15" s="114" t="n">
        <v>4</v>
      </c>
      <c r="K15" s="112" t="n">
        <v>1000</v>
      </c>
      <c r="L15" s="114" t="n">
        <v>0</v>
      </c>
      <c r="M15" s="114" t="n">
        <v>4000</v>
      </c>
      <c r="O15" s="108" t="n"/>
      <c r="P15" s="109" t="n"/>
    </row>
    <row r="16">
      <c r="A16" s="114" t="n">
        <v>11</v>
      </c>
      <c r="B16" s="111" t="inlineStr">
        <is>
          <t>011</t>
        </is>
      </c>
      <c r="C16" s="114" t="inlineStr">
        <is>
          <t>G</t>
        </is>
      </c>
      <c r="D16" s="112" t="inlineStr">
        <is>
          <t>Gạo</t>
        </is>
      </c>
      <c r="E16" s="113" t="n">
        <v>42418</v>
      </c>
      <c r="F16" s="113" t="n">
        <v>42426</v>
      </c>
      <c r="G16" s="112" t="inlineStr">
        <is>
          <t>B</t>
        </is>
      </c>
      <c r="H16" s="112" t="inlineStr">
        <is>
          <t>Ngoài TP</t>
        </is>
      </c>
      <c r="I16" s="112" t="inlineStr">
        <is>
          <t>Xe bán tải</t>
        </is>
      </c>
      <c r="J16" s="114" t="n">
        <v>7</v>
      </c>
      <c r="K16" s="112" t="n">
        <v>1600</v>
      </c>
      <c r="L16" s="114" t="n">
        <v>1</v>
      </c>
      <c r="M16" s="114" t="n">
        <v>9600</v>
      </c>
    </row>
    <row r="17">
      <c r="A17" s="114" t="n">
        <v>12</v>
      </c>
      <c r="B17" s="111" t="inlineStr">
        <is>
          <t>012</t>
        </is>
      </c>
      <c r="C17" s="114" t="inlineStr">
        <is>
          <t>D</t>
        </is>
      </c>
      <c r="D17" s="112" t="inlineStr">
        <is>
          <t>Đường</t>
        </is>
      </c>
      <c r="E17" s="113" t="n">
        <v>42437</v>
      </c>
      <c r="F17" s="113" t="n">
        <v>42443</v>
      </c>
      <c r="G17" s="112" t="inlineStr">
        <is>
          <t>D</t>
        </is>
      </c>
      <c r="H17" s="112" t="inlineStr">
        <is>
          <t>Tỉnh MB</t>
        </is>
      </c>
      <c r="I17" s="112" t="inlineStr">
        <is>
          <t>Xe lửa</t>
        </is>
      </c>
      <c r="J17" s="114" t="n">
        <v>45</v>
      </c>
      <c r="K17" s="112" t="n">
        <v>5000</v>
      </c>
      <c r="L17" s="114" t="n">
        <v>5</v>
      </c>
      <c r="M17" s="114" t="n">
        <v>200000</v>
      </c>
    </row>
    <row r="18">
      <c r="A18" s="114" t="n">
        <v>13</v>
      </c>
      <c r="B18" s="111" t="inlineStr">
        <is>
          <t>013</t>
        </is>
      </c>
      <c r="C18" s="114" t="inlineStr">
        <is>
          <t>C</t>
        </is>
      </c>
      <c r="D18" s="112" t="inlineStr">
        <is>
          <t>Cà phê</t>
        </is>
      </c>
      <c r="E18" s="113" t="n">
        <v>42444</v>
      </c>
      <c r="F18" s="113" t="n">
        <v>42446</v>
      </c>
      <c r="G18" s="112" t="inlineStr">
        <is>
          <t>D</t>
        </is>
      </c>
      <c r="H18" s="112" t="inlineStr">
        <is>
          <t>Tỉnh MB</t>
        </is>
      </c>
      <c r="I18" s="112" t="inlineStr">
        <is>
          <t>Xe lửa</t>
        </is>
      </c>
      <c r="J18" s="114" t="n">
        <v>4</v>
      </c>
      <c r="K18" s="112" t="n">
        <v>3000</v>
      </c>
      <c r="L18" s="114" t="n">
        <v>0</v>
      </c>
      <c r="M18" s="114" t="n">
        <v>12000</v>
      </c>
    </row>
    <row r="19">
      <c r="A19" s="114" t="n">
        <v>14</v>
      </c>
      <c r="B19" s="111" t="inlineStr">
        <is>
          <t>014</t>
        </is>
      </c>
      <c r="C19" s="114" t="inlineStr">
        <is>
          <t>S</t>
        </is>
      </c>
      <c r="D19" s="112" t="inlineStr">
        <is>
          <t>Súp Knor</t>
        </is>
      </c>
      <c r="E19" s="113" t="n">
        <v>42446</v>
      </c>
      <c r="F19" s="113" t="n">
        <v>42449</v>
      </c>
      <c r="G19" s="112" t="inlineStr">
        <is>
          <t>B</t>
        </is>
      </c>
      <c r="H19" s="112" t="inlineStr">
        <is>
          <t>Ngoài TP</t>
        </is>
      </c>
      <c r="I19" s="112" t="inlineStr">
        <is>
          <t>Xe bán tải</t>
        </is>
      </c>
      <c r="J19" s="114" t="n">
        <v>21</v>
      </c>
      <c r="K19" s="112" t="n">
        <v>4350</v>
      </c>
      <c r="L19" s="114" t="n">
        <v>4</v>
      </c>
      <c r="M19" s="114" t="n">
        <v>73950</v>
      </c>
    </row>
    <row r="20">
      <c r="A20" s="114" t="n">
        <v>15</v>
      </c>
      <c r="B20" s="111" t="inlineStr">
        <is>
          <t>015</t>
        </is>
      </c>
      <c r="C20" s="114" t="inlineStr">
        <is>
          <t>D</t>
        </is>
      </c>
      <c r="D20" s="112" t="inlineStr">
        <is>
          <t>Đường</t>
        </is>
      </c>
      <c r="E20" s="113" t="n">
        <v>42469</v>
      </c>
      <c r="F20" s="113" t="n">
        <v>42473</v>
      </c>
      <c r="G20" s="112" t="inlineStr">
        <is>
          <t>C</t>
        </is>
      </c>
      <c r="H20" s="112" t="inlineStr">
        <is>
          <t>Tỉnh MN</t>
        </is>
      </c>
      <c r="I20" s="112" t="inlineStr">
        <is>
          <t>Xe tải</t>
        </is>
      </c>
      <c r="J20" s="114" t="n">
        <v>23</v>
      </c>
      <c r="K20" s="112" t="n">
        <v>5000</v>
      </c>
      <c r="L20" s="114" t="n">
        <v>4</v>
      </c>
      <c r="M20" s="114" t="n">
        <v>95000</v>
      </c>
    </row>
    <row r="21">
      <c r="A21" s="114" t="n">
        <v>16</v>
      </c>
      <c r="B21" s="111" t="inlineStr">
        <is>
          <t>016</t>
        </is>
      </c>
      <c r="C21" s="114" t="inlineStr">
        <is>
          <t>D</t>
        </is>
      </c>
      <c r="D21" s="112" t="inlineStr">
        <is>
          <t>Đường</t>
        </is>
      </c>
      <c r="E21" s="113" t="n">
        <v>42474</v>
      </c>
      <c r="F21" s="113" t="n">
        <v>42474</v>
      </c>
      <c r="G21" s="112" t="inlineStr">
        <is>
          <t>B</t>
        </is>
      </c>
      <c r="H21" s="112" t="inlineStr">
        <is>
          <t>Ngoài TP</t>
        </is>
      </c>
      <c r="I21" s="112" t="inlineStr">
        <is>
          <t>Xe bán tải</t>
        </is>
      </c>
      <c r="J21" s="114" t="n">
        <v>20</v>
      </c>
      <c r="K21" s="112" t="n">
        <v>5000</v>
      </c>
      <c r="L21" s="114" t="n">
        <v>4</v>
      </c>
      <c r="M21" s="114" t="n">
        <v>80000</v>
      </c>
    </row>
    <row r="22">
      <c r="A22" s="114" t="n">
        <v>17</v>
      </c>
      <c r="B22" s="111" t="inlineStr">
        <is>
          <t>017</t>
        </is>
      </c>
      <c r="C22" s="114" t="inlineStr">
        <is>
          <t>C</t>
        </is>
      </c>
      <c r="D22" s="112" t="inlineStr">
        <is>
          <t>Cà phê</t>
        </is>
      </c>
      <c r="E22" s="113" t="n">
        <v>42474</v>
      </c>
      <c r="F22" s="113" t="n">
        <v>42476</v>
      </c>
      <c r="G22" s="112" t="inlineStr">
        <is>
          <t>C</t>
        </is>
      </c>
      <c r="H22" s="112" t="inlineStr">
        <is>
          <t>Tỉnh MN</t>
        </is>
      </c>
      <c r="I22" s="112" t="inlineStr">
        <is>
          <t>Xe tải</t>
        </is>
      </c>
      <c r="J22" s="114" t="n">
        <v>24</v>
      </c>
      <c r="K22" s="112" t="n">
        <v>3000</v>
      </c>
      <c r="L22" s="114" t="n">
        <v>4</v>
      </c>
      <c r="M22" s="114" t="n">
        <v>60000</v>
      </c>
    </row>
    <row r="23">
      <c r="A23" s="114" t="n">
        <v>18</v>
      </c>
      <c r="B23" s="111" t="inlineStr">
        <is>
          <t>018</t>
        </is>
      </c>
      <c r="C23" s="114" t="inlineStr">
        <is>
          <t>D</t>
        </is>
      </c>
      <c r="D23" s="112" t="inlineStr">
        <is>
          <t>Đường</t>
        </is>
      </c>
      <c r="E23" s="113" t="n">
        <v>42474</v>
      </c>
      <c r="F23" s="113" t="n">
        <v>42479</v>
      </c>
      <c r="G23" s="112" t="inlineStr">
        <is>
          <t>D</t>
        </is>
      </c>
      <c r="H23" s="112" t="inlineStr">
        <is>
          <t>Tỉnh MB</t>
        </is>
      </c>
      <c r="I23" s="112" t="inlineStr">
        <is>
          <t>Xe lửa</t>
        </is>
      </c>
      <c r="J23" s="114" t="n">
        <v>49</v>
      </c>
      <c r="K23" s="112" t="n">
        <v>5000</v>
      </c>
      <c r="L23" s="114" t="n">
        <v>5</v>
      </c>
      <c r="M23" s="114" t="n">
        <v>220000</v>
      </c>
    </row>
    <row r="24">
      <c r="A24" s="114" t="n">
        <v>19</v>
      </c>
      <c r="B24" s="111" t="inlineStr">
        <is>
          <t>019</t>
        </is>
      </c>
      <c r="C24" s="114" t="inlineStr">
        <is>
          <t>D</t>
        </is>
      </c>
      <c r="D24" s="112" t="inlineStr">
        <is>
          <t>Đường</t>
        </is>
      </c>
      <c r="E24" s="113" t="n">
        <v>42475</v>
      </c>
      <c r="F24" s="113" t="n">
        <v>42482</v>
      </c>
      <c r="G24" s="112" t="inlineStr">
        <is>
          <t>A</t>
        </is>
      </c>
      <c r="H24" s="112" t="inlineStr">
        <is>
          <t>Trong TP</t>
        </is>
      </c>
      <c r="I24" s="112" t="inlineStr">
        <is>
          <t>Xe máy</t>
        </is>
      </c>
      <c r="J24" s="114" t="n">
        <v>15</v>
      </c>
      <c r="K24" s="112" t="n">
        <v>5000</v>
      </c>
      <c r="L24" s="114" t="n">
        <v>3</v>
      </c>
      <c r="M24" s="114" t="n">
        <v>60000</v>
      </c>
    </row>
    <row r="25">
      <c r="A25" s="114" t="n">
        <v>20</v>
      </c>
      <c r="B25" s="111" t="inlineStr">
        <is>
          <t>020</t>
        </is>
      </c>
      <c r="C25" s="114" t="inlineStr">
        <is>
          <t>D</t>
        </is>
      </c>
      <c r="D25" s="112" t="inlineStr">
        <is>
          <t>Đường</t>
        </is>
      </c>
      <c r="E25" s="113" t="n">
        <v>42492</v>
      </c>
      <c r="F25" s="113" t="n">
        <v>42495</v>
      </c>
      <c r="G25" s="112" t="inlineStr">
        <is>
          <t>A</t>
        </is>
      </c>
      <c r="H25" s="112" t="inlineStr">
        <is>
          <t>Trong TP</t>
        </is>
      </c>
      <c r="I25" s="112" t="inlineStr">
        <is>
          <t>Xe máy</t>
        </is>
      </c>
      <c r="J25" s="114" t="n">
        <v>20</v>
      </c>
      <c r="K25" s="112" t="n">
        <v>5000</v>
      </c>
      <c r="L25" s="114" t="n">
        <v>4</v>
      </c>
      <c r="M25" s="114" t="n">
        <v>80000</v>
      </c>
    </row>
    <row r="26">
      <c r="A26" s="114" t="n">
        <v>21</v>
      </c>
      <c r="B26" s="111" t="inlineStr">
        <is>
          <t>021</t>
        </is>
      </c>
      <c r="C26" s="114" t="inlineStr">
        <is>
          <t>S</t>
        </is>
      </c>
      <c r="D26" s="112" t="inlineStr">
        <is>
          <t>Súp Knor</t>
        </is>
      </c>
      <c r="E26" s="113" t="n">
        <v>42499</v>
      </c>
      <c r="F26" s="113" t="n">
        <v>42500</v>
      </c>
      <c r="G26" s="112" t="inlineStr">
        <is>
          <t>C</t>
        </is>
      </c>
      <c r="H26" s="112" t="inlineStr">
        <is>
          <t>Tỉnh MN</t>
        </is>
      </c>
      <c r="I26" s="112" t="inlineStr">
        <is>
          <t>Xe tải</t>
        </is>
      </c>
      <c r="J26" s="114" t="n">
        <v>8</v>
      </c>
      <c r="K26" s="112" t="n">
        <v>4350</v>
      </c>
      <c r="L26" s="114" t="n">
        <v>1</v>
      </c>
      <c r="M26" s="114" t="n">
        <v>30450</v>
      </c>
    </row>
    <row r="27">
      <c r="A27" s="114" t="n">
        <v>22</v>
      </c>
      <c r="B27" s="111" t="inlineStr">
        <is>
          <t>022</t>
        </is>
      </c>
      <c r="C27" s="114" t="inlineStr">
        <is>
          <t>G</t>
        </is>
      </c>
      <c r="D27" s="112" t="inlineStr">
        <is>
          <t>Gạo</t>
        </is>
      </c>
      <c r="E27" s="113" t="n">
        <v>42537</v>
      </c>
      <c r="F27" s="113" t="n">
        <v>42537</v>
      </c>
      <c r="G27" s="112" t="inlineStr">
        <is>
          <t>B</t>
        </is>
      </c>
      <c r="H27" s="112" t="inlineStr">
        <is>
          <t>Ngoài TP</t>
        </is>
      </c>
      <c r="I27" s="112" t="inlineStr">
        <is>
          <t>Xe bán tải</t>
        </is>
      </c>
      <c r="J27" s="114" t="n">
        <v>48</v>
      </c>
      <c r="K27" s="112" t="n">
        <v>1600</v>
      </c>
      <c r="L27" s="114" t="n">
        <v>5</v>
      </c>
      <c r="M27" s="114" t="n">
        <v>68800</v>
      </c>
    </row>
    <row r="28">
      <c r="A28" s="114" t="n">
        <v>23</v>
      </c>
      <c r="B28" s="111" t="inlineStr">
        <is>
          <t>023</t>
        </is>
      </c>
      <c r="C28" s="114" t="inlineStr">
        <is>
          <t>BN</t>
        </is>
      </c>
      <c r="D28" s="112" t="inlineStr">
        <is>
          <t>Bột ngọt</t>
        </is>
      </c>
      <c r="E28" s="113" t="n">
        <v>42546</v>
      </c>
      <c r="F28" s="113" t="n">
        <v>42547</v>
      </c>
      <c r="G28" s="112" t="inlineStr">
        <is>
          <t>D</t>
        </is>
      </c>
      <c r="H28" s="112" t="inlineStr">
        <is>
          <t>Tỉnh MB</t>
        </is>
      </c>
      <c r="I28" s="112" t="inlineStr">
        <is>
          <t>Xe lửa</t>
        </is>
      </c>
      <c r="J28" s="114" t="n">
        <v>3</v>
      </c>
      <c r="K28" s="112" t="n">
        <v>2500</v>
      </c>
      <c r="L28" s="114" t="n">
        <v>0</v>
      </c>
      <c r="M28" s="114" t="n">
        <v>7500</v>
      </c>
    </row>
    <row r="29">
      <c r="A29" s="114" t="n">
        <v>24</v>
      </c>
      <c r="B29" s="111" t="inlineStr">
        <is>
          <t>024</t>
        </is>
      </c>
      <c r="C29" s="114" t="inlineStr">
        <is>
          <t>D</t>
        </is>
      </c>
      <c r="D29" s="112" t="inlineStr">
        <is>
          <t>Đường</t>
        </is>
      </c>
      <c r="E29" s="113" t="n">
        <v>42547</v>
      </c>
      <c r="F29" s="113" t="n">
        <v>42549</v>
      </c>
      <c r="G29" s="112" t="inlineStr">
        <is>
          <t>A</t>
        </is>
      </c>
      <c r="H29" s="112" t="inlineStr">
        <is>
          <t>Trong TP</t>
        </is>
      </c>
      <c r="I29" s="112" t="inlineStr">
        <is>
          <t>Xe máy</t>
        </is>
      </c>
      <c r="J29" s="114" t="n">
        <v>4</v>
      </c>
      <c r="K29" s="112" t="n">
        <v>5000</v>
      </c>
      <c r="L29" s="114" t="n">
        <v>0</v>
      </c>
      <c r="M29" s="114" t="n">
        <v>20000</v>
      </c>
    </row>
    <row r="30">
      <c r="A30" s="114" t="n">
        <v>25</v>
      </c>
      <c r="B30" s="111" t="inlineStr">
        <is>
          <t>025</t>
        </is>
      </c>
      <c r="C30" s="114" t="inlineStr">
        <is>
          <t>D</t>
        </is>
      </c>
      <c r="D30" s="112" t="inlineStr">
        <is>
          <t>Đường</t>
        </is>
      </c>
      <c r="E30" s="113" t="n">
        <v>42550</v>
      </c>
      <c r="F30" s="113" t="n">
        <v>42555</v>
      </c>
      <c r="G30" s="112" t="inlineStr">
        <is>
          <t>D</t>
        </is>
      </c>
      <c r="H30" s="112" t="inlineStr">
        <is>
          <t>Tỉnh MB</t>
        </is>
      </c>
      <c r="I30" s="112" t="inlineStr">
        <is>
          <t>Xe lửa</t>
        </is>
      </c>
      <c r="J30" s="114" t="n">
        <v>5</v>
      </c>
      <c r="K30" s="112" t="n">
        <v>5000</v>
      </c>
      <c r="L30" s="114" t="n">
        <v>1</v>
      </c>
      <c r="M30" s="114" t="n">
        <v>20000</v>
      </c>
    </row>
    <row r="31">
      <c r="A31" s="114" t="n">
        <v>26</v>
      </c>
      <c r="B31" s="111" t="inlineStr">
        <is>
          <t>026</t>
        </is>
      </c>
      <c r="C31" s="114" t="inlineStr">
        <is>
          <t>D</t>
        </is>
      </c>
      <c r="D31" s="112" t="inlineStr">
        <is>
          <t>Đường</t>
        </is>
      </c>
      <c r="E31" s="113" t="n">
        <v>42560</v>
      </c>
      <c r="F31" s="113" t="n">
        <v>42561</v>
      </c>
      <c r="G31" s="112" t="inlineStr">
        <is>
          <t>A</t>
        </is>
      </c>
      <c r="H31" s="112" t="inlineStr">
        <is>
          <t>Trong TP</t>
        </is>
      </c>
      <c r="I31" s="112" t="inlineStr">
        <is>
          <t>Xe máy</t>
        </is>
      </c>
      <c r="J31" s="114" t="n">
        <v>14</v>
      </c>
      <c r="K31" s="112" t="n">
        <v>5000</v>
      </c>
      <c r="L31" s="114" t="n">
        <v>2</v>
      </c>
      <c r="M31" s="114" t="n">
        <v>60000</v>
      </c>
    </row>
    <row r="32">
      <c r="A32" s="114" t="n">
        <v>27</v>
      </c>
      <c r="B32" s="111" t="inlineStr">
        <is>
          <t>027</t>
        </is>
      </c>
      <c r="C32" s="114" t="inlineStr">
        <is>
          <t>G</t>
        </is>
      </c>
      <c r="D32" s="112" t="inlineStr">
        <is>
          <t>Gạo</t>
        </is>
      </c>
      <c r="E32" s="113" t="n">
        <v>42564</v>
      </c>
      <c r="F32" s="113" t="n">
        <v>42564</v>
      </c>
      <c r="G32" s="112" t="inlineStr">
        <is>
          <t>A</t>
        </is>
      </c>
      <c r="H32" s="112" t="inlineStr">
        <is>
          <t>Trong TP</t>
        </is>
      </c>
      <c r="I32" s="112" t="inlineStr">
        <is>
          <t>Xe máy</t>
        </is>
      </c>
      <c r="J32" s="114" t="n">
        <v>38</v>
      </c>
      <c r="K32" s="112" t="n">
        <v>1600</v>
      </c>
      <c r="L32" s="114" t="n">
        <v>5</v>
      </c>
      <c r="M32" s="114" t="n">
        <v>52800</v>
      </c>
    </row>
    <row r="33">
      <c r="A33" s="114" t="n">
        <v>28</v>
      </c>
      <c r="B33" s="111" t="inlineStr">
        <is>
          <t>028</t>
        </is>
      </c>
      <c r="C33" s="114" t="inlineStr">
        <is>
          <t>G</t>
        </is>
      </c>
      <c r="D33" s="112" t="inlineStr">
        <is>
          <t>Gạo</t>
        </is>
      </c>
      <c r="E33" s="113" t="n">
        <v>42570</v>
      </c>
      <c r="F33" s="113" t="n">
        <v>42572</v>
      </c>
      <c r="G33" s="112" t="inlineStr">
        <is>
          <t>B</t>
        </is>
      </c>
      <c r="H33" s="112" t="inlineStr">
        <is>
          <t>Ngoài TP</t>
        </is>
      </c>
      <c r="I33" s="112" t="inlineStr">
        <is>
          <t>Xe bán tải</t>
        </is>
      </c>
      <c r="J33" s="114" t="n">
        <v>44</v>
      </c>
      <c r="K33" s="112" t="n">
        <v>1600</v>
      </c>
      <c r="L33" s="114" t="n">
        <v>5</v>
      </c>
      <c r="M33" s="114" t="n">
        <v>62400</v>
      </c>
    </row>
    <row r="34">
      <c r="A34" s="114" t="n">
        <v>29</v>
      </c>
      <c r="B34" s="111" t="inlineStr">
        <is>
          <t>029</t>
        </is>
      </c>
      <c r="C34" s="114" t="inlineStr">
        <is>
          <t>G</t>
        </is>
      </c>
      <c r="D34" s="112" t="inlineStr">
        <is>
          <t>Gạo</t>
        </is>
      </c>
      <c r="E34" s="113" t="n">
        <v>42574</v>
      </c>
      <c r="F34" s="113" t="n">
        <v>42577</v>
      </c>
      <c r="G34" s="112" t="inlineStr">
        <is>
          <t>B</t>
        </is>
      </c>
      <c r="H34" s="112" t="inlineStr">
        <is>
          <t>Ngoài TP</t>
        </is>
      </c>
      <c r="I34" s="112" t="inlineStr">
        <is>
          <t>Xe bán tải</t>
        </is>
      </c>
      <c r="J34" s="114" t="n">
        <v>23</v>
      </c>
      <c r="K34" s="112" t="n">
        <v>1600</v>
      </c>
      <c r="L34" s="114" t="n">
        <v>4</v>
      </c>
      <c r="M34" s="114" t="n">
        <v>30400</v>
      </c>
    </row>
    <row r="35">
      <c r="A35" s="114" t="n">
        <v>30</v>
      </c>
      <c r="B35" s="111" t="inlineStr">
        <is>
          <t>030</t>
        </is>
      </c>
      <c r="C35" s="114" t="inlineStr">
        <is>
          <t>C</t>
        </is>
      </c>
      <c r="D35" s="112" t="inlineStr">
        <is>
          <t>Cà phê</t>
        </is>
      </c>
      <c r="E35" s="113" t="n">
        <v>42578</v>
      </c>
      <c r="F35" s="113" t="n">
        <v>42582</v>
      </c>
      <c r="G35" s="112" t="inlineStr">
        <is>
          <t>C</t>
        </is>
      </c>
      <c r="H35" s="112" t="inlineStr">
        <is>
          <t>Tỉnh MN</t>
        </is>
      </c>
      <c r="I35" s="112" t="inlineStr">
        <is>
          <t>Xe tải</t>
        </is>
      </c>
      <c r="J35" s="114" t="n">
        <v>30</v>
      </c>
      <c r="K35" s="112" t="n">
        <v>3000</v>
      </c>
      <c r="L35" s="114" t="n">
        <v>5</v>
      </c>
      <c r="M35" s="114" t="n">
        <v>75000</v>
      </c>
    </row>
    <row r="40">
      <c r="E40" s="115" t="n"/>
    </row>
    <row r="41">
      <c r="E41" s="116" t="n"/>
    </row>
    <row r="42">
      <c r="E42" s="115" t="n"/>
    </row>
    <row r="43">
      <c r="E43" s="116" t="n"/>
    </row>
    <row r="44">
      <c r="E44" s="115" t="n"/>
    </row>
    <row r="45">
      <c r="E45" s="115" t="n"/>
    </row>
    <row r="46">
      <c r="E46" s="115" t="n"/>
    </row>
    <row r="47">
      <c r="E47" s="115" t="n"/>
    </row>
    <row r="48">
      <c r="E48" s="115" t="n"/>
    </row>
    <row r="49">
      <c r="E49" s="115" t="n"/>
    </row>
    <row r="50">
      <c r="E50" s="115" t="n"/>
    </row>
    <row r="51">
      <c r="C51" s="108" t="n"/>
      <c r="E51" s="115" t="n"/>
    </row>
  </sheetData>
  <mergeCells count="1">
    <mergeCell ref="A3:M3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0" workbookViewId="0">
      <selection activeCell="A1" sqref="A1"/>
    </sheetView>
  </sheetViews>
  <sheetFormatPr baseColWidth="8" defaultColWidth="14.42578125" defaultRowHeight="16.5"/>
  <cols>
    <col width="9.7109375" customWidth="1" style="38" min="1" max="1"/>
    <col width="10.85546875" customWidth="1" style="38" min="2" max="2"/>
    <col width="14.140625" customWidth="1" style="38" min="3" max="3"/>
    <col width="12" customWidth="1" style="38" min="4" max="4"/>
    <col width="8.7109375" customWidth="1" style="38" min="5" max="5"/>
    <col width="9.28515625" customWidth="1" style="38" min="6" max="6"/>
    <col width="12.85546875" customWidth="1" style="38" min="7" max="7"/>
    <col width="21.5703125" customWidth="1" style="38" min="8" max="8"/>
    <col width="14.85546875" customWidth="1" style="38" min="9" max="9"/>
    <col width="13.140625" customWidth="1" style="38" min="10" max="10"/>
    <col width="14.42578125" customWidth="1" style="38" min="11" max="16384"/>
  </cols>
  <sheetData>
    <row r="1" ht="33" customHeight="1">
      <c r="A1" s="94" t="inlineStr">
        <is>
          <t>MÃ HÀNG</t>
        </is>
      </c>
      <c r="B1" s="94" t="inlineStr">
        <is>
          <t>TÊN HÀNG</t>
        </is>
      </c>
      <c r="C1" s="94" t="inlineStr">
        <is>
          <t>TÊN HÀNG ĐÚNG</t>
        </is>
      </c>
      <c r="D1" s="94" t="inlineStr">
        <is>
          <t>KÝ TỰ ĐẦU</t>
        </is>
      </c>
      <c r="E1" s="94" t="inlineStr">
        <is>
          <t>KÝ TỰ CUỐI</t>
        </is>
      </c>
      <c r="F1" s="94" t="inlineStr">
        <is>
          <t>KÝ TỰ THỨ 2</t>
        </is>
      </c>
      <c r="G1" s="94" t="inlineStr">
        <is>
          <t>2 KÝ TỰ 3 VÀ 4</t>
        </is>
      </c>
      <c r="H1" s="94" t="inlineStr">
        <is>
          <t>NỐI KÝ TỰ ĐẦU VÀ CUỐI</t>
        </is>
      </c>
      <c r="I1" s="94" t="inlineStr">
        <is>
          <t>CHIỀU DÀI CHUỖI</t>
        </is>
      </c>
    </row>
    <row r="2">
      <c r="A2" s="9" t="inlineStr">
        <is>
          <t>AS0123</t>
        </is>
      </c>
      <c r="B2" s="9" t="inlineStr">
        <is>
          <t>tivi a</t>
        </is>
      </c>
      <c r="C2" s="9" t="str">
        <f>PROPER(B2)</f>
        <v>Tivi A</v>
      </c>
      <c r="D2" s="31" t="str">
        <f>LEFT(A2,1)</f>
        <v>A</v>
      </c>
      <c r="E2" s="31" t="str">
        <f>RIGHT(A2,1)</f>
        <v>3</v>
      </c>
      <c r="F2" s="31" t="str">
        <f>MID(A2,2,1)</f>
        <v>S</v>
      </c>
      <c r="G2" s="31" t="str">
        <f>MID(A2,3,2)</f>
        <v>01</v>
      </c>
      <c r="H2" s="31" t="str">
        <f>LEFT(A2,1)&amp;RIGHT(A2,1)</f>
        <v>A3</v>
      </c>
      <c r="I2" s="31">
        <f>LEN(A2)</f>
        <v>6</v>
      </c>
    </row>
    <row r="3">
      <c r="A3" s="9" t="inlineStr">
        <is>
          <t>AL1342</t>
        </is>
      </c>
      <c r="B3" s="9" t="inlineStr">
        <is>
          <t>tủ lạnh x</t>
        </is>
      </c>
      <c r="C3" s="9" t="str">
        <f>PROPER(B3)</f>
        <v>Tủ Lạnh X</v>
      </c>
      <c r="D3" s="31" t="str">
        <f>LEFT(A3,1)</f>
        <v>A</v>
      </c>
      <c r="E3" s="31" t="str">
        <f>RIGHT(A3,1)</f>
        <v>2</v>
      </c>
      <c r="F3" s="31" t="str">
        <f>MID(A3,2,1)</f>
        <v>L</v>
      </c>
      <c r="G3" s="31" t="str">
        <f>MID(A3,3,2)</f>
        <v>13</v>
      </c>
      <c r="H3" s="31" t="str">
        <f>LEFT(A3,1)&amp;RIGHT(A3,1)</f>
        <v>A2</v>
      </c>
      <c r="I3" s="31">
        <f>LEN(A3)</f>
        <v>6</v>
      </c>
    </row>
    <row r="4">
      <c r="A4" s="9" t="inlineStr">
        <is>
          <t>AS2043</t>
        </is>
      </c>
      <c r="B4" s="9" t="inlineStr">
        <is>
          <t>máy giặt a</t>
        </is>
      </c>
      <c r="C4" s="9" t="str">
        <f>PROPER(B4)</f>
        <v>Máy Giặt A</v>
      </c>
      <c r="D4" s="31" t="str">
        <f>LEFT(A4,1)</f>
        <v>A</v>
      </c>
      <c r="E4" s="31" t="str">
        <f>RIGHT(A4,1)</f>
        <v>3</v>
      </c>
      <c r="F4" s="31" t="str">
        <f>MID(A4,2,1)</f>
        <v>S</v>
      </c>
      <c r="G4" s="31" t="str">
        <f>MID(A4,3,2)</f>
        <v>20</v>
      </c>
      <c r="H4" s="31" t="str">
        <f>LEFT(A4,1)&amp;RIGHT(A4,1)</f>
        <v>A3</v>
      </c>
      <c r="I4" s="31">
        <f>LEN(A4)</f>
        <v>6</v>
      </c>
    </row>
    <row r="5">
      <c r="A5" s="9" t="inlineStr">
        <is>
          <t>BS2341</t>
        </is>
      </c>
      <c r="B5" s="9" t="inlineStr">
        <is>
          <t>tivi b</t>
        </is>
      </c>
      <c r="C5" s="9" t="str">
        <f>PROPER(B5)</f>
        <v>Tivi B</v>
      </c>
      <c r="D5" s="31" t="str">
        <f>LEFT(A5,1)</f>
        <v>B</v>
      </c>
      <c r="E5" s="31" t="str">
        <f>RIGHT(A5,1)</f>
        <v>1</v>
      </c>
      <c r="F5" s="31" t="str">
        <f>MID(A5,2,1)</f>
        <v>S</v>
      </c>
      <c r="G5" s="31" t="str">
        <f>MID(A5,3,2)</f>
        <v>23</v>
      </c>
      <c r="H5" s="31" t="str">
        <f>LEFT(A5,1)&amp;RIGHT(A5,1)</f>
        <v>B1</v>
      </c>
      <c r="I5" s="31">
        <f>LEN(A5)</f>
        <v>6</v>
      </c>
    </row>
    <row r="6">
      <c r="A6" s="9" t="inlineStr">
        <is>
          <t>BL0122</t>
        </is>
      </c>
      <c r="B6" s="9" t="inlineStr">
        <is>
          <t>tivi b</t>
        </is>
      </c>
      <c r="C6" s="9" t="str">
        <f>PROPER(B6)</f>
        <v>Tivi B</v>
      </c>
      <c r="D6" s="31" t="str">
        <f>LEFT(A6,1)</f>
        <v>B</v>
      </c>
      <c r="E6" s="31" t="str">
        <f>RIGHT(A6,1)</f>
        <v>2</v>
      </c>
      <c r="F6" s="31" t="str">
        <f>MID(A6,2,1)</f>
        <v>L</v>
      </c>
      <c r="G6" s="31" t="str">
        <f>MID(A6,3,2)</f>
        <v>01</v>
      </c>
      <c r="H6" s="31" t="str">
        <f>LEFT(A6,1)&amp;RIGHT(A6,1)</f>
        <v>B2</v>
      </c>
      <c r="I6" s="31">
        <f>LEN(A6)</f>
        <v>6</v>
      </c>
    </row>
    <row r="7">
      <c r="A7" s="9" t="inlineStr">
        <is>
          <t>BL1233</t>
        </is>
      </c>
      <c r="B7" s="9" t="inlineStr">
        <is>
          <t>máy giặt b</t>
        </is>
      </c>
      <c r="C7" s="9" t="str">
        <f>PROPER(B7)</f>
        <v>Máy Giặt B</v>
      </c>
      <c r="D7" s="31" t="str">
        <f>LEFT(A7,1)</f>
        <v>B</v>
      </c>
      <c r="E7" s="31" t="str">
        <f>RIGHT(A7,1)</f>
        <v>3</v>
      </c>
      <c r="F7" s="31" t="str">
        <f>MID(A7,2,1)</f>
        <v>L</v>
      </c>
      <c r="G7" s="31" t="str">
        <f>MID(A7,3,2)</f>
        <v>12</v>
      </c>
      <c r="H7" s="31" t="str">
        <f>LEFT(A7,1)&amp;RIGHT(A7,1)</f>
        <v>B3</v>
      </c>
      <c r="I7" s="31">
        <f>LEN(A7)</f>
        <v>6</v>
      </c>
    </row>
    <row r="8">
      <c r="A8" s="9" t="inlineStr">
        <is>
          <t>CS1234</t>
        </is>
      </c>
      <c r="B8" s="9" t="inlineStr">
        <is>
          <t>tủ lạnh y</t>
        </is>
      </c>
      <c r="C8" s="9" t="str">
        <f>PROPER(B8)</f>
        <v>Tủ Lạnh Y</v>
      </c>
      <c r="D8" s="31" t="str">
        <f>LEFT(A8,1)</f>
        <v>C</v>
      </c>
      <c r="E8" s="31" t="str">
        <f>RIGHT(A8,1)</f>
        <v>4</v>
      </c>
      <c r="F8" s="31" t="str">
        <f>MID(A8,2,1)</f>
        <v>S</v>
      </c>
      <c r="G8" s="31" t="str">
        <f>MID(A8,3,2)</f>
        <v>12</v>
      </c>
      <c r="H8" s="31" t="str">
        <f>LEFT(A8,1)&amp;RIGHT(A8,1)</f>
        <v>C4</v>
      </c>
      <c r="I8" s="31">
        <f>LEN(A8)</f>
        <v>6</v>
      </c>
    </row>
    <row r="9">
      <c r="A9" s="82" t="n"/>
      <c r="B9" s="82" t="n"/>
      <c r="C9" s="82" t="n"/>
      <c r="D9" s="82" t="n"/>
      <c r="E9" s="82" t="n"/>
      <c r="F9" s="38" t="n"/>
      <c r="G9" s="38" t="n"/>
      <c r="H9" s="38" t="n"/>
      <c r="I9" s="38" t="n"/>
      <c r="J9" s="38" t="n"/>
    </row>
    <row r="11">
      <c r="A11" s="69" t="n"/>
      <c r="B11" s="69" t="n"/>
      <c r="C11" s="69" t="n"/>
      <c r="D11" s="109" t="n"/>
      <c r="E11" s="65" t="n"/>
      <c r="F11" s="63" t="n"/>
    </row>
    <row r="12">
      <c r="A12" s="69" t="n"/>
      <c r="B12" s="69" t="n"/>
      <c r="C12" s="69" t="n"/>
      <c r="D12" s="109" t="n"/>
    </row>
    <row r="13">
      <c r="A13" s="69" t="n"/>
      <c r="B13" s="69" t="n"/>
      <c r="C13" s="69" t="n"/>
      <c r="D13" s="109" t="n"/>
    </row>
    <row r="14">
      <c r="A14" s="69" t="n"/>
      <c r="B14" s="69" t="n"/>
      <c r="C14" s="69" t="n"/>
      <c r="D14" s="109" t="n"/>
    </row>
    <row r="15">
      <c r="A15" s="69" t="n"/>
      <c r="B15" s="69" t="n"/>
      <c r="C15" s="69" t="n"/>
      <c r="D15" s="109" t="n"/>
    </row>
    <row r="16">
      <c r="A16" s="69" t="n"/>
      <c r="B16" s="69" t="n"/>
      <c r="C16" s="69" t="n"/>
      <c r="D16" s="109" t="n"/>
    </row>
    <row r="17">
      <c r="A17" s="71" t="n"/>
      <c r="B17" s="71" t="n"/>
      <c r="C17" s="71" t="n"/>
      <c r="D17" s="109" t="n"/>
    </row>
    <row r="18">
      <c r="A18" s="71" t="n"/>
      <c r="B18" s="71" t="n"/>
      <c r="C18" s="71" t="n"/>
      <c r="D18" s="109" t="n"/>
    </row>
    <row r="19">
      <c r="A19" s="70" t="n"/>
      <c r="B19" s="70" t="n"/>
      <c r="C19" s="70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1"/>
  <sheetViews>
    <sheetView tabSelected="0" workbookViewId="0">
      <selection activeCell="A1" sqref="A1"/>
    </sheetView>
  </sheetViews>
  <sheetFormatPr baseColWidth="8" defaultRowHeight="15"/>
  <cols>
    <col width="9.140625" customWidth="1" style="46" min="1" max="1"/>
    <col width="10" customWidth="1" style="46" min="2" max="2"/>
    <col width="24.140625" customWidth="1" style="46" min="3" max="3"/>
    <col width="11.5703125" bestFit="1" customWidth="1" style="46" min="4" max="4"/>
    <col hidden="1" width="14.140625" customWidth="1" style="46" min="5" max="5"/>
    <col hidden="1" width="14.7109375" customWidth="1" style="46" min="6" max="6"/>
    <col hidden="1" width="10.7109375" customWidth="1" style="46" min="7" max="7"/>
    <col hidden="1" width="10.5703125" customWidth="1" style="46" min="8" max="8"/>
    <col hidden="1" width="16" customWidth="1" style="46" min="9" max="9"/>
    <col hidden="1" width="11" customWidth="1" style="46" min="10" max="10"/>
    <col hidden="1" width="17.85546875" customWidth="1" style="46" min="11" max="11"/>
    <col hidden="1" width="2.140625" customWidth="1" style="46" min="12" max="12"/>
    <col width="9.140625" customWidth="1" style="46" min="13" max="13"/>
    <col width="20.7109375" customWidth="1" style="46" min="14" max="14"/>
    <col width="13.85546875" customWidth="1" style="46" min="15" max="15"/>
    <col width="7.7109375" customWidth="1" style="46" min="16" max="16"/>
    <col width="9.140625" customWidth="1" style="46" min="17" max="16384"/>
  </cols>
  <sheetData>
    <row r="1" ht="39" customHeight="1">
      <c r="B1" s="156" t="inlineStr">
        <is>
          <t>DANH MỤC HÀNG BÁN</t>
        </is>
      </c>
    </row>
    <row r="2">
      <c r="C2" s="91" t="inlineStr">
        <is>
          <t>Ngày Tháng Năm Hiện Tại</t>
        </is>
      </c>
      <c r="D2" s="163">
        <f>TODAY()</f>
        <v>46318.0</v>
      </c>
    </row>
    <row r="3">
      <c r="C3" s="91" t="inlineStr">
        <is>
          <t>Ngày Hiện Tại</t>
        </is>
      </c>
      <c r="D3" s="47">
        <f>DAY(TODAY())</f>
        <v>23</v>
      </c>
    </row>
    <row r="4">
      <c r="C4" s="91" t="inlineStr">
        <is>
          <t>Tháng Hiện Tại</t>
        </is>
      </c>
      <c r="D4" s="47">
        <f>MONTH(TODAY())</f>
        <v>10</v>
      </c>
    </row>
    <row r="5">
      <c r="C5" s="91" t="inlineStr">
        <is>
          <t>Năm Hiện Tại</t>
        </is>
      </c>
      <c r="D5" s="47">
        <f>YEAR(TODAY())</f>
        <v>2026</v>
      </c>
    </row>
    <row r="6" ht="15.75" customHeight="1">
      <c r="B6" s="48" t="n"/>
      <c r="C6" s="48" t="n"/>
      <c r="D6" s="48" t="n"/>
      <c r="E6" s="48" t="n"/>
      <c r="F6" s="48" t="n"/>
      <c r="G6" s="48" t="n"/>
      <c r="H6" s="157" t="n"/>
      <c r="I6" s="164" t="n"/>
      <c r="J6" s="49" t="n">
        <v>22000</v>
      </c>
      <c r="K6" s="48" t="n"/>
    </row>
    <row r="7" ht="15.75" customHeight="1">
      <c r="B7" s="92" t="inlineStr">
        <is>
          <t>Mã hàng</t>
        </is>
      </c>
      <c r="C7" s="92" t="inlineStr">
        <is>
          <t>Mã QG</t>
        </is>
      </c>
      <c r="D7" s="92" t="inlineStr">
        <is>
          <t>Ngày bán</t>
        </is>
      </c>
      <c r="E7" s="92" t="n"/>
      <c r="F7" s="92" t="n"/>
      <c r="G7" s="92" t="n"/>
      <c r="H7" s="92" t="n"/>
      <c r="I7" s="92" t="inlineStr">
        <is>
          <t>Tên hàng</t>
        </is>
      </c>
      <c r="J7" s="92" t="inlineStr">
        <is>
          <t>Đơn vị tính</t>
        </is>
      </c>
      <c r="K7" s="92" t="inlineStr">
        <is>
          <t>Xuất xứ</t>
        </is>
      </c>
      <c r="L7" s="92" t="inlineStr">
        <is>
          <t>Số lượng</t>
        </is>
      </c>
      <c r="M7" s="92" t="inlineStr">
        <is>
          <t>Trị giá</t>
        </is>
      </c>
      <c r="N7" s="93" t="inlineStr">
        <is>
          <t>Phí vận chuyển</t>
        </is>
      </c>
      <c r="O7" s="92" t="inlineStr">
        <is>
          <t>Thành tiền</t>
        </is>
      </c>
      <c r="P7" s="50" t="n"/>
      <c r="Q7" s="58" t="n"/>
    </row>
    <row r="8" ht="15.75" customHeight="1">
      <c r="B8" s="52" t="inlineStr">
        <is>
          <t>TR20T</t>
        </is>
      </c>
      <c r="C8" s="53" t="inlineStr">
        <is>
          <t>AU</t>
        </is>
      </c>
      <c r="D8" s="54" t="n">
        <v>41368</v>
      </c>
      <c r="E8" s="55" t="n"/>
      <c r="F8" s="55" t="n"/>
      <c r="G8" s="55" t="n"/>
      <c r="H8" s="55" t="n"/>
      <c r="I8" s="52" t="str">
        <f>VLOOKUP(LEFT(B8,4), $B$17:$E$21,2,0)</f>
        <v>Thép tròn 20mm</v>
      </c>
      <c r="J8" s="52" t="str">
        <f>VLOOKUP(LEFT(B8,4), $B$17:$E$21,3,0)</f>
        <v>Tấn</v>
      </c>
      <c r="K8" s="52" t="str">
        <f>HLOOKUP(C8,$H$17:$K$19,2,0)</f>
        <v>Australia</v>
      </c>
      <c r="L8" s="52" t="n">
        <v>55</v>
      </c>
      <c r="M8" s="52">
        <f>VLOOKUP(LEFT(B8,4), $B$17:$E$21,4,0)*L8</f>
        <v>24750</v>
      </c>
      <c r="N8" s="52">
        <f>HLOOKUP(C8,$H$17:$K$19,3,0)*L8</f>
        <v>6600</v>
      </c>
      <c r="O8" s="56">
        <f>(M8+N8)*IF(MONTH(D8)=4,1-10%,1)</f>
        <v>28215</v>
      </c>
      <c r="Q8" s="58" t="n"/>
    </row>
    <row r="9" ht="15.75" customHeight="1">
      <c r="B9" s="52" t="inlineStr">
        <is>
          <t>TA10C</t>
        </is>
      </c>
      <c r="C9" s="53" t="inlineStr">
        <is>
          <t>KO</t>
        </is>
      </c>
      <c r="D9" s="54" t="n">
        <v>41744</v>
      </c>
      <c r="E9" s="55" t="n"/>
      <c r="F9" s="55" t="n"/>
      <c r="G9" s="55" t="n"/>
      <c r="H9" s="55" t="n"/>
      <c r="I9" s="52" t="str">
        <f>VLOOKUP(LEFT(B9,4), $B$17:$E$21,2,0)</f>
        <v>Thép tấm 10mm</v>
      </c>
      <c r="J9" s="52" t="str">
        <f>VLOOKUP(LEFT(B9,4), $B$17:$E$21,3,0)</f>
        <v>Tấm</v>
      </c>
      <c r="K9" s="52" t="str">
        <f>HLOOKUP(C9,$H$17:$K$19,2,0)</f>
        <v>Korea</v>
      </c>
      <c r="L9" s="52" t="n">
        <v>35</v>
      </c>
      <c r="M9" s="52">
        <f>VLOOKUP(LEFT(B9,4), $B$17:$E$21,4,0)*L9</f>
        <v>24500</v>
      </c>
      <c r="N9" s="52">
        <f>HLOOKUP(C9,$H$17:$K$19,3,0)*L9</f>
        <v>3500</v>
      </c>
      <c r="O9" s="56">
        <f>(M9+N9)*IF(MONTH(D9)=4,1-10%,1)</f>
        <v>25200</v>
      </c>
      <c r="Q9" s="58" t="n"/>
    </row>
    <row r="10" ht="15.75" customHeight="1">
      <c r="B10" s="52" t="inlineStr">
        <is>
          <t>TR20T</t>
        </is>
      </c>
      <c r="C10" s="53" t="inlineStr">
        <is>
          <t>AU</t>
        </is>
      </c>
      <c r="D10" s="54" t="n">
        <v>41753</v>
      </c>
      <c r="E10" s="55" t="n"/>
      <c r="F10" s="55" t="n"/>
      <c r="G10" s="55" t="n"/>
      <c r="H10" s="55" t="n"/>
      <c r="I10" s="52" t="str">
        <f>VLOOKUP(LEFT(B10,4), $B$17:$E$21,2,0)</f>
        <v>Thép tròn 20mm</v>
      </c>
      <c r="J10" s="52" t="str">
        <f>VLOOKUP(LEFT(B10,4), $B$17:$E$21,3,0)</f>
        <v>Tấn</v>
      </c>
      <c r="K10" s="52" t="str">
        <f>HLOOKUP(C10,$H$17:$K$19,2,0)</f>
        <v>Australia</v>
      </c>
      <c r="L10" s="52" t="n">
        <v>36</v>
      </c>
      <c r="M10" s="52">
        <f>VLOOKUP(LEFT(B10,4), $B$17:$E$21,4,0)*L10</f>
        <v>16200</v>
      </c>
      <c r="N10" s="52">
        <f>HLOOKUP(C10,$H$17:$K$19,3,0)*L10</f>
        <v>4320</v>
      </c>
      <c r="O10" s="56">
        <f>(M10+N10)*IF(MONTH(D10)=4,1-10%,1)</f>
        <v>18468</v>
      </c>
      <c r="Q10" s="58" t="n"/>
    </row>
    <row r="11" ht="15.75" customHeight="1">
      <c r="B11" s="52" t="inlineStr">
        <is>
          <t>GO55C</t>
        </is>
      </c>
      <c r="C11" s="53" t="inlineStr">
        <is>
          <t>GE</t>
        </is>
      </c>
      <c r="D11" s="54" t="n">
        <v>41275</v>
      </c>
      <c r="E11" s="55" t="n"/>
      <c r="F11" s="55" t="n"/>
      <c r="G11" s="55" t="n"/>
      <c r="H11" s="55" t="n"/>
      <c r="I11" s="52" t="str">
        <f>VLOOKUP(LEFT(B11,4), $B$17:$E$21,2,0)</f>
        <v>Thép góc 5x5mm</v>
      </c>
      <c r="J11" s="52" t="str">
        <f>VLOOKUP(LEFT(B11,4), $B$17:$E$21,3,0)</f>
        <v>Chục</v>
      </c>
      <c r="K11" s="52" t="str">
        <f>HLOOKUP(C11,$H$17:$K$19,2,0)</f>
        <v>Germany</v>
      </c>
      <c r="L11" s="52" t="n">
        <v>70</v>
      </c>
      <c r="M11" s="52">
        <f>VLOOKUP(LEFT(B11,4), $B$17:$E$21,4,0)*L11</f>
        <v>36400</v>
      </c>
      <c r="N11" s="52">
        <f>HLOOKUP(C11,$H$17:$K$19,3,0)*L11</f>
        <v>10500</v>
      </c>
      <c r="O11" s="56">
        <f>(M11+N11)*IF(MONTH(D11)=4,1-10%,1)</f>
        <v>46900</v>
      </c>
      <c r="Q11" s="58" t="n"/>
    </row>
    <row r="12" ht="15.75" customHeight="1">
      <c r="B12" s="52" t="inlineStr">
        <is>
          <t>TA10C</t>
        </is>
      </c>
      <c r="C12" s="53" t="inlineStr">
        <is>
          <t>KO</t>
        </is>
      </c>
      <c r="D12" s="54" t="n">
        <v>41771</v>
      </c>
      <c r="E12" s="55" t="n"/>
      <c r="F12" s="55" t="n"/>
      <c r="G12" s="55" t="n"/>
      <c r="H12" s="55" t="n"/>
      <c r="I12" s="52" t="str">
        <f>VLOOKUP(LEFT(B12,4), $B$17:$E$21,2,0)</f>
        <v>Thép tấm 10mm</v>
      </c>
      <c r="J12" s="52" t="str">
        <f>VLOOKUP(LEFT(B12,4), $B$17:$E$21,3,0)</f>
        <v>Tấm</v>
      </c>
      <c r="K12" s="52" t="str">
        <f>HLOOKUP(C12,$H$17:$K$19,2,0)</f>
        <v>Korea</v>
      </c>
      <c r="L12" s="52" t="n">
        <v>45</v>
      </c>
      <c r="M12" s="52">
        <f>VLOOKUP(LEFT(B12,4), $B$17:$E$21,4,0)*L12</f>
        <v>31500</v>
      </c>
      <c r="N12" s="52">
        <f>HLOOKUP(C12,$H$17:$K$19,3,0)*L12</f>
        <v>4500</v>
      </c>
      <c r="O12" s="56">
        <f>(M12+N12)*IF(MONTH(D12)=4,1-10%,1)</f>
        <v>36000</v>
      </c>
      <c r="Q12" s="58" t="n"/>
    </row>
    <row r="13" ht="15.75" customHeight="1">
      <c r="B13" s="52" t="inlineStr">
        <is>
          <t>GO55T</t>
        </is>
      </c>
      <c r="C13" s="53" t="inlineStr">
        <is>
          <t>GE</t>
        </is>
      </c>
      <c r="D13" s="54" t="n">
        <v>41418</v>
      </c>
      <c r="E13" s="55" t="n"/>
      <c r="F13" s="55" t="n"/>
      <c r="G13" s="55" t="n"/>
      <c r="H13" s="55" t="n"/>
      <c r="I13" s="52" t="str">
        <f>VLOOKUP(LEFT(B13,4), $B$17:$E$21,2,0)</f>
        <v>Thép góc 5x5mm</v>
      </c>
      <c r="J13" s="52" t="str">
        <f>VLOOKUP(LEFT(B13,4), $B$17:$E$21,3,0)</f>
        <v>Chục</v>
      </c>
      <c r="K13" s="52" t="str">
        <f>HLOOKUP(C13,$H$17:$K$19,2,0)</f>
        <v>Germany</v>
      </c>
      <c r="L13" s="52" t="n">
        <v>12</v>
      </c>
      <c r="M13" s="52">
        <f>VLOOKUP(LEFT(B13,4), $B$17:$E$21,4,0)*L13</f>
        <v>6240</v>
      </c>
      <c r="N13" s="52">
        <f>HLOOKUP(C13,$H$17:$K$19,3,0)*L13</f>
        <v>1800</v>
      </c>
      <c r="O13" s="56">
        <f>(M13+N13)*IF(MONTH(D13)=4,1-10%,1)</f>
        <v>8040</v>
      </c>
      <c r="Q13" s="58" t="n"/>
    </row>
    <row r="14" ht="15.75" customHeight="1">
      <c r="B14" s="52" t="inlineStr">
        <is>
          <t>TA10T</t>
        </is>
      </c>
      <c r="C14" s="53" t="inlineStr">
        <is>
          <t>KO</t>
        </is>
      </c>
      <c r="D14" s="54" t="n">
        <v>42005</v>
      </c>
      <c r="E14" s="55" t="n"/>
      <c r="F14" s="55" t="n"/>
      <c r="G14" s="55" t="n"/>
      <c r="H14" s="55" t="n"/>
      <c r="I14" s="52" t="str">
        <f>VLOOKUP(LEFT(B14,4), $B$17:$E$21,2,0)</f>
        <v>Thép tấm 10mm</v>
      </c>
      <c r="J14" s="52" t="str">
        <f>VLOOKUP(LEFT(B14,4), $B$17:$E$21,3,0)</f>
        <v>Tấm</v>
      </c>
      <c r="K14" s="52" t="str">
        <f>HLOOKUP(C14,$H$17:$K$19,2,0)</f>
        <v>Korea</v>
      </c>
      <c r="L14" s="52" t="n">
        <v>60</v>
      </c>
      <c r="M14" s="52">
        <f>VLOOKUP(LEFT(B14,4), $B$17:$E$21,4,0)*L14</f>
        <v>42000</v>
      </c>
      <c r="N14" s="52">
        <f>HLOOKUP(C14,$H$17:$K$19,3,0)*L14</f>
        <v>6000</v>
      </c>
      <c r="O14" s="56">
        <f>(M14+N14)*IF(MONTH(D14)=4,1-10%,1)</f>
        <v>48000</v>
      </c>
      <c r="Q14" s="58" t="n"/>
    </row>
    <row r="15" hidden="1" ht="15.75" customHeight="1">
      <c r="B15" s="57" t="n"/>
      <c r="C15" s="58" t="n"/>
      <c r="D15" s="58" t="n"/>
      <c r="E15" s="57" t="n"/>
      <c r="F15" s="57" t="n"/>
      <c r="G15" s="59" t="n"/>
      <c r="H15" s="58" t="n"/>
      <c r="I15" s="58" t="n"/>
      <c r="J15" s="58" t="n"/>
      <c r="L15" s="58" t="n"/>
    </row>
    <row r="16" hidden="1" ht="15.75" customHeight="1">
      <c r="B16" s="60" t="inlineStr">
        <is>
          <t>BẢNG 1</t>
        </is>
      </c>
      <c r="C16" s="58" t="n"/>
      <c r="D16" s="58" t="n"/>
      <c r="E16" s="58" t="n"/>
      <c r="F16" s="58" t="n"/>
      <c r="G16" s="58" t="n"/>
      <c r="H16" s="58" t="n"/>
      <c r="I16" s="60" t="inlineStr">
        <is>
          <t>BẢNG 2</t>
        </is>
      </c>
      <c r="J16" s="58" t="n"/>
      <c r="K16" s="58" t="n"/>
    </row>
    <row r="17" hidden="1" ht="15.75" customHeight="1">
      <c r="B17" s="158" t="inlineStr">
        <is>
          <t>4 Ký tự
đầu</t>
        </is>
      </c>
      <c r="C17" s="159" t="inlineStr">
        <is>
          <t>Tên hàng</t>
        </is>
      </c>
      <c r="D17" s="159" t="inlineStr">
        <is>
          <t>Đơn vị tính</t>
        </is>
      </c>
      <c r="E17" s="159" t="inlineStr">
        <is>
          <t>Đơn giá</t>
        </is>
      </c>
      <c r="G17" s="58" t="n"/>
      <c r="H17" s="159" t="inlineStr">
        <is>
          <t>Mã QG</t>
        </is>
      </c>
      <c r="I17" s="52" t="inlineStr">
        <is>
          <t>AU</t>
        </is>
      </c>
      <c r="J17" s="52" t="inlineStr">
        <is>
          <t>KO</t>
        </is>
      </c>
      <c r="K17" s="52" t="inlineStr">
        <is>
          <t>GE</t>
        </is>
      </c>
    </row>
    <row r="18" hidden="1" ht="15.75" customHeight="1">
      <c r="B18" s="165" t="n"/>
      <c r="C18" s="165" t="n"/>
      <c r="D18" s="165" t="n"/>
      <c r="E18" s="165" t="n"/>
      <c r="G18" s="58" t="n"/>
      <c r="H18" s="159" t="inlineStr">
        <is>
          <t>Xuất xứ</t>
        </is>
      </c>
      <c r="I18" s="53" t="inlineStr">
        <is>
          <t>Australia</t>
        </is>
      </c>
      <c r="J18" s="53" t="inlineStr">
        <is>
          <t>Korea</t>
        </is>
      </c>
      <c r="K18" s="53" t="inlineStr">
        <is>
          <t>Germany</t>
        </is>
      </c>
    </row>
    <row r="19" hidden="1" ht="15.75" customHeight="1">
      <c r="B19" s="52" t="inlineStr">
        <is>
          <t>TR20</t>
        </is>
      </c>
      <c r="C19" s="53" t="inlineStr">
        <is>
          <t>Thép tròn 20mm</t>
        </is>
      </c>
      <c r="D19" s="47" t="inlineStr">
        <is>
          <t>Tấn</t>
        </is>
      </c>
      <c r="E19" s="52" t="n">
        <v>450</v>
      </c>
      <c r="G19" s="58" t="n"/>
      <c r="H19" s="159" t="inlineStr">
        <is>
          <t>Giá VC</t>
        </is>
      </c>
      <c r="I19" s="52" t="n">
        <v>120</v>
      </c>
      <c r="J19" s="52" t="n">
        <v>100</v>
      </c>
      <c r="K19" s="52" t="n">
        <v>150</v>
      </c>
    </row>
    <row r="20" hidden="1" ht="15.75" customHeight="1">
      <c r="B20" s="52" t="inlineStr">
        <is>
          <t>TA10</t>
        </is>
      </c>
      <c r="C20" s="53" t="inlineStr">
        <is>
          <t>Thép tấm 10mm</t>
        </is>
      </c>
      <c r="D20" s="47" t="inlineStr">
        <is>
          <t>Tấm</t>
        </is>
      </c>
      <c r="E20" s="52" t="n">
        <v>700</v>
      </c>
      <c r="G20" s="58" t="n"/>
    </row>
    <row r="21" hidden="1" ht="15.75" customHeight="1">
      <c r="B21" s="52" t="inlineStr">
        <is>
          <t>GO55</t>
        </is>
      </c>
      <c r="C21" s="53" t="inlineStr">
        <is>
          <t>Thép góc 5x5mm</t>
        </is>
      </c>
      <c r="D21" s="47" t="inlineStr">
        <is>
          <t>Chục</t>
        </is>
      </c>
      <c r="E21" s="52" t="n">
        <v>520</v>
      </c>
      <c r="G21" s="58" t="n"/>
    </row>
    <row r="22" hidden="1"/>
    <row r="25" ht="15.75" customHeight="1">
      <c r="C25" s="69" t="n"/>
      <c r="D25" s="109" t="n"/>
      <c r="E25" s="63" t="n"/>
      <c r="F25" s="63" t="n"/>
      <c r="G25" s="63" t="n"/>
      <c r="H25" s="63" t="n"/>
      <c r="I25" s="63" t="n"/>
      <c r="J25" s="63" t="n"/>
      <c r="K25" s="63" t="n"/>
      <c r="L25" s="63" t="n"/>
    </row>
    <row r="26" ht="15.75" customHeight="1">
      <c r="C26" s="69" t="n"/>
      <c r="D26" s="109" t="n"/>
      <c r="E26" s="63" t="n"/>
      <c r="F26" s="63" t="n"/>
      <c r="G26" s="63" t="n"/>
      <c r="H26" s="63" t="n"/>
      <c r="I26" s="63" t="n"/>
      <c r="J26" s="63" t="n"/>
      <c r="K26" s="63" t="n"/>
      <c r="L26" s="63" t="n"/>
    </row>
    <row r="27" ht="15.75" customHeight="1">
      <c r="C27" s="69" t="n"/>
      <c r="D27" s="109" t="n"/>
      <c r="E27" s="63" t="n"/>
      <c r="F27" s="63" t="n"/>
      <c r="G27" s="63" t="n"/>
      <c r="H27" s="63" t="n"/>
      <c r="I27" s="63" t="n"/>
      <c r="J27" s="63" t="n"/>
      <c r="K27" s="63" t="n"/>
      <c r="L27" s="63" t="n"/>
    </row>
    <row r="28" ht="15.75" customHeight="1">
      <c r="C28" s="69" t="n"/>
      <c r="D28" s="109" t="n"/>
      <c r="E28" s="63" t="n"/>
      <c r="F28" s="63" t="n"/>
      <c r="G28" s="63" t="n"/>
      <c r="H28" s="63" t="n"/>
      <c r="I28" s="63" t="n"/>
      <c r="J28" s="63" t="n"/>
      <c r="K28" s="63" t="n"/>
      <c r="L28" s="63" t="n"/>
    </row>
    <row r="29" ht="15.75" customHeight="1">
      <c r="C29" s="69" t="n"/>
      <c r="D29" s="109" t="n"/>
      <c r="E29" s="63" t="n"/>
      <c r="F29" s="63" t="n"/>
      <c r="G29" s="63" t="n"/>
      <c r="H29" s="63" t="n"/>
      <c r="I29" s="63" t="n"/>
      <c r="J29" s="63" t="n"/>
      <c r="K29" s="63" t="n"/>
      <c r="L29" s="63" t="n"/>
    </row>
    <row r="30" ht="15.75" customHeight="1">
      <c r="B30" s="109" t="n"/>
      <c r="D30" s="109" t="n"/>
      <c r="E30" s="155" t="inlineStr">
        <is>
          <t>Thành Tiền= Trị Giá+Phí Vận Chuyển, nhưng giảm:
                     10% cho những mặt hàng nào  bán vào năm 2013, 
                     15% cho những măt hàng nào bán vào tháng 4 năm 2014 và 
                     20% cho những mặt hàng nào bán vào ngày 1/1/2015</t>
        </is>
      </c>
    </row>
    <row r="31" ht="15.75" customHeight="1">
      <c r="A31" s="69" t="n"/>
      <c r="B31" s="109" t="n"/>
      <c r="C31" s="63" t="n"/>
      <c r="D31" s="63" t="n"/>
      <c r="E31" s="63" t="n"/>
      <c r="F31" s="63" t="n"/>
      <c r="G31" s="63" t="n"/>
      <c r="H31" s="63" t="n"/>
      <c r="I31" s="63" t="n"/>
      <c r="J31" s="63" t="n"/>
    </row>
  </sheetData>
  <mergeCells count="7">
    <mergeCell ref="B1:O1"/>
    <mergeCell ref="E17:E18"/>
    <mergeCell ref="E30:L30"/>
    <mergeCell ref="H6:I6"/>
    <mergeCell ref="C17:C18"/>
    <mergeCell ref="B17:B18"/>
    <mergeCell ref="D17:D18"/>
  </mergeCells>
  <pageMargins left="0.7" right="0.7" top="0.75" bottom="0.75" header="0.3" footer="0.3"/>
  <pageSetup orientation="portrait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tabSelected="0" workbookViewId="0">
      <selection activeCell="A1" sqref="A1"/>
    </sheetView>
  </sheetViews>
  <sheetFormatPr baseColWidth="8" defaultRowHeight="15"/>
  <sheetData>
    <row r="1">
      <c r="A1" s="118" t="inlineStr">
        <is>
          <t>Hình phần II câu 4 a</t>
        </is>
      </c>
      <c r="B1" s="117" t="n"/>
      <c r="C1" s="117" t="n"/>
      <c r="D1" s="117" t="n"/>
      <c r="E1" s="117" t="n"/>
      <c r="F1" s="117" t="n"/>
      <c r="G1" s="117" t="n"/>
      <c r="H1" s="117" t="n"/>
      <c r="I1" s="117" t="n"/>
    </row>
    <row r="2">
      <c r="A2" s="117" t="n"/>
      <c r="B2" s="117" t="n"/>
      <c r="C2" s="117" t="n"/>
      <c r="D2" s="117" t="n"/>
      <c r="E2" s="117" t="n"/>
      <c r="F2" s="117" t="n"/>
      <c r="G2" s="117" t="n"/>
      <c r="H2" s="117" t="n"/>
      <c r="I2" s="117" t="n"/>
    </row>
    <row r="3">
      <c r="A3" s="117" t="n"/>
      <c r="B3" s="117" t="n"/>
      <c r="C3" s="117" t="n"/>
      <c r="D3" s="117" t="n"/>
      <c r="E3" s="117" t="n"/>
      <c r="F3" s="117" t="n"/>
      <c r="G3" s="117" t="n"/>
      <c r="H3" s="117" t="n"/>
      <c r="I3" s="117" t="n"/>
    </row>
    <row r="4">
      <c r="A4" s="117" t="n"/>
      <c r="B4" s="117" t="n"/>
      <c r="C4" s="117" t="n"/>
      <c r="D4" s="117" t="n"/>
      <c r="E4" s="117" t="n"/>
      <c r="F4" s="117" t="n"/>
      <c r="G4" s="117" t="n"/>
      <c r="H4" s="117" t="n"/>
      <c r="I4" s="117" t="n"/>
    </row>
    <row r="5">
      <c r="A5" s="117" t="n"/>
      <c r="B5" s="117" t="n"/>
      <c r="C5" s="117" t="n"/>
      <c r="D5" s="117" t="n"/>
      <c r="E5" s="117" t="n"/>
      <c r="F5" s="117" t="n"/>
      <c r="G5" s="117" t="n"/>
      <c r="H5" s="117" t="n"/>
      <c r="I5" s="117" t="n"/>
    </row>
    <row r="6">
      <c r="A6" s="117" t="n"/>
      <c r="B6" s="117" t="n"/>
      <c r="C6" s="117" t="n"/>
      <c r="D6" s="117" t="n"/>
      <c r="E6" s="117" t="n"/>
      <c r="F6" s="117" t="n"/>
      <c r="G6" s="117" t="n"/>
      <c r="H6" s="117" t="n"/>
      <c r="I6" s="117" t="n"/>
    </row>
    <row r="7">
      <c r="A7" s="117" t="n"/>
      <c r="B7" s="117" t="n"/>
      <c r="C7" s="117" t="n"/>
      <c r="D7" s="117" t="n"/>
      <c r="E7" s="117" t="n"/>
      <c r="F7" s="117" t="n"/>
      <c r="G7" s="117" t="n"/>
      <c r="H7" s="117" t="n"/>
      <c r="I7" s="117" t="n"/>
    </row>
    <row r="8">
      <c r="A8" s="117" t="n"/>
      <c r="B8" s="117" t="n"/>
      <c r="C8" s="117" t="n"/>
      <c r="D8" s="117" t="n"/>
      <c r="E8" s="117" t="n"/>
      <c r="F8" s="117" t="n"/>
      <c r="G8" s="117" t="n"/>
      <c r="H8" s="117" t="n"/>
      <c r="I8" s="117" t="n"/>
    </row>
    <row r="9">
      <c r="A9" s="117" t="n"/>
      <c r="B9" s="117" t="n"/>
      <c r="C9" s="117" t="n"/>
      <c r="D9" s="117" t="n"/>
      <c r="E9" s="117" t="n"/>
      <c r="F9" s="117" t="n"/>
      <c r="G9" s="117" t="n"/>
      <c r="H9" s="117" t="n"/>
      <c r="I9" s="117" t="n"/>
    </row>
    <row r="10">
      <c r="A10" s="117" t="n"/>
      <c r="B10" s="117" t="n"/>
      <c r="C10" s="117" t="n"/>
      <c r="D10" s="117" t="n"/>
      <c r="E10" s="117" t="n"/>
      <c r="F10" s="117" t="n"/>
      <c r="G10" s="117" t="n"/>
      <c r="H10" s="117" t="n"/>
      <c r="I10" s="117" t="n"/>
    </row>
    <row r="11">
      <c r="A11" s="117" t="n"/>
      <c r="B11" s="117" t="n"/>
      <c r="C11" s="117" t="n"/>
      <c r="D11" s="117" t="n"/>
      <c r="E11" s="117" t="n"/>
      <c r="F11" s="117" t="n"/>
      <c r="G11" s="117" t="n"/>
      <c r="H11" s="117" t="n"/>
      <c r="I11" s="117" t="n"/>
    </row>
    <row r="12">
      <c r="A12" s="117" t="n"/>
      <c r="B12" s="117" t="n"/>
      <c r="C12" s="117" t="n"/>
      <c r="D12" s="117" t="n"/>
      <c r="E12" s="117" t="n"/>
      <c r="F12" s="117" t="n"/>
      <c r="G12" s="117" t="n"/>
      <c r="H12" s="117" t="n"/>
      <c r="I12" s="117" t="n"/>
    </row>
    <row r="13">
      <c r="A13" s="117" t="n"/>
      <c r="B13" s="117" t="n"/>
      <c r="C13" s="117" t="n"/>
      <c r="D13" s="117" t="n"/>
      <c r="E13" s="117" t="n"/>
      <c r="F13" s="117" t="n"/>
      <c r="G13" s="117" t="n"/>
      <c r="H13" s="117" t="n"/>
      <c r="I13" s="117" t="n"/>
    </row>
    <row r="14">
      <c r="A14" s="117" t="n"/>
      <c r="B14" s="117" t="n"/>
      <c r="C14" s="117" t="n"/>
      <c r="D14" s="117" t="n"/>
      <c r="E14" s="117" t="n"/>
      <c r="F14" s="117" t="n"/>
      <c r="G14" s="117" t="n"/>
      <c r="H14" s="117" t="n"/>
      <c r="I14" s="117" t="n"/>
    </row>
    <row r="15">
      <c r="A15" s="117" t="n"/>
      <c r="B15" s="117" t="n"/>
      <c r="C15" s="117" t="n"/>
      <c r="D15" s="117" t="n"/>
      <c r="E15" s="117" t="n"/>
      <c r="F15" s="117" t="n"/>
      <c r="G15" s="117" t="n"/>
      <c r="H15" s="117" t="n"/>
      <c r="I15" s="117" t="n"/>
    </row>
    <row r="16">
      <c r="A16" s="117" t="n"/>
      <c r="B16" s="117" t="n"/>
      <c r="C16" s="117" t="n"/>
      <c r="D16" s="117" t="n"/>
      <c r="E16" s="117" t="n"/>
      <c r="F16" s="117" t="n"/>
      <c r="G16" s="117" t="n"/>
      <c r="H16" s="117" t="n"/>
      <c r="I16" s="117" t="n"/>
    </row>
    <row r="17">
      <c r="A17" s="117" t="n"/>
      <c r="B17" s="117" t="n"/>
      <c r="C17" s="117" t="n"/>
      <c r="D17" s="117" t="n"/>
      <c r="E17" s="117" t="n"/>
      <c r="F17" s="117" t="n"/>
      <c r="G17" s="117" t="n"/>
      <c r="H17" s="117" t="n"/>
      <c r="I17" s="117" t="n"/>
    </row>
    <row r="18">
      <c r="A18" s="117" t="n"/>
      <c r="B18" s="117" t="n"/>
      <c r="C18" s="117" t="n"/>
      <c r="D18" s="117" t="n"/>
      <c r="E18" s="117" t="n"/>
      <c r="F18" s="117" t="n"/>
      <c r="G18" s="117" t="n"/>
      <c r="H18" s="117" t="n"/>
      <c r="I18" s="117" t="n"/>
    </row>
    <row r="21">
      <c r="A21" s="118" t="inlineStr">
        <is>
          <t>Hình phần II câu 4 b</t>
        </is>
      </c>
      <c r="B21" s="117" t="n"/>
      <c r="C21" s="117" t="n"/>
      <c r="D21" s="117" t="n"/>
      <c r="E21" s="117" t="n"/>
      <c r="F21" s="117" t="n"/>
      <c r="G21" s="117" t="n"/>
      <c r="H21" s="117" t="n"/>
      <c r="I21" s="117" t="n"/>
    </row>
    <row r="22">
      <c r="A22" s="117" t="n"/>
      <c r="B22" s="117" t="n"/>
      <c r="C22" s="117" t="n"/>
      <c r="D22" s="117" t="n"/>
      <c r="E22" s="117" t="n"/>
      <c r="F22" s="117" t="n"/>
      <c r="G22" s="117" t="n"/>
      <c r="H22" s="117" t="n"/>
      <c r="I22" s="117" t="n"/>
    </row>
    <row r="23">
      <c r="A23" s="117" t="n"/>
      <c r="B23" s="117" t="n"/>
      <c r="C23" s="117" t="n"/>
      <c r="D23" s="117" t="n"/>
      <c r="E23" s="117" t="n"/>
      <c r="F23" s="117" t="n"/>
      <c r="G23" s="117" t="n"/>
      <c r="H23" s="117" t="n"/>
      <c r="I23" s="117" t="n"/>
    </row>
    <row r="24">
      <c r="A24" s="117" t="n"/>
      <c r="B24" s="117" t="n"/>
      <c r="C24" s="117" t="n"/>
      <c r="D24" s="117" t="n"/>
      <c r="E24" s="117" t="n"/>
      <c r="F24" s="117" t="n"/>
      <c r="G24" s="117" t="n"/>
      <c r="H24" s="117" t="n"/>
      <c r="I24" s="117" t="n"/>
    </row>
    <row r="25">
      <c r="A25" s="117" t="n"/>
      <c r="B25" s="117" t="n"/>
      <c r="C25" s="117" t="n"/>
      <c r="D25" s="117" t="n"/>
      <c r="E25" s="117" t="n"/>
      <c r="F25" s="117" t="n"/>
      <c r="G25" s="117" t="n"/>
      <c r="H25" s="117" t="n"/>
      <c r="I25" s="117" t="n"/>
    </row>
    <row r="26">
      <c r="A26" s="117" t="n"/>
      <c r="B26" s="117" t="n"/>
      <c r="C26" s="117" t="n"/>
      <c r="D26" s="117" t="n"/>
      <c r="E26" s="117" t="n"/>
      <c r="F26" s="117" t="n"/>
      <c r="G26" s="117" t="n"/>
      <c r="H26" s="117" t="n"/>
      <c r="I26" s="117" t="n"/>
    </row>
    <row r="27">
      <c r="A27" s="117" t="n"/>
      <c r="B27" s="117" t="n"/>
      <c r="C27" s="117" t="n"/>
      <c r="D27" s="117" t="n"/>
      <c r="E27" s="117" t="n"/>
      <c r="F27" s="117" t="n"/>
      <c r="G27" s="117" t="n"/>
      <c r="H27" s="117" t="n"/>
      <c r="I27" s="117" t="n"/>
    </row>
    <row r="28">
      <c r="A28" s="117" t="n"/>
      <c r="B28" s="117" t="n"/>
      <c r="C28" s="117" t="n"/>
      <c r="D28" s="117" t="n"/>
      <c r="E28" s="117" t="n"/>
      <c r="F28" s="117" t="n"/>
      <c r="G28" s="117" t="n"/>
      <c r="H28" s="117" t="n"/>
      <c r="I28" s="117" t="n"/>
    </row>
    <row r="29">
      <c r="A29" s="117" t="n"/>
      <c r="B29" s="117" t="n"/>
      <c r="C29" s="117" t="n"/>
      <c r="D29" s="117" t="n"/>
      <c r="E29" s="117" t="n"/>
      <c r="F29" s="117" t="n"/>
      <c r="G29" s="117" t="n"/>
      <c r="H29" s="117" t="n"/>
      <c r="I29" s="117" t="n"/>
    </row>
    <row r="30">
      <c r="A30" s="117" t="n"/>
      <c r="B30" s="117" t="n"/>
      <c r="C30" s="117" t="n"/>
      <c r="D30" s="117" t="n"/>
      <c r="E30" s="117" t="n"/>
      <c r="F30" s="117" t="n"/>
      <c r="G30" s="117" t="n"/>
      <c r="H30" s="117" t="n"/>
      <c r="I30" s="117" t="n"/>
    </row>
    <row r="31">
      <c r="A31" s="117" t="n"/>
      <c r="B31" s="117" t="n"/>
      <c r="C31" s="117" t="n"/>
      <c r="D31" s="117" t="n"/>
      <c r="E31" s="117" t="n"/>
      <c r="F31" s="117" t="n"/>
      <c r="G31" s="117" t="n"/>
      <c r="H31" s="117" t="n"/>
      <c r="I31" s="117" t="n"/>
    </row>
    <row r="32">
      <c r="A32" s="117" t="n"/>
      <c r="B32" s="117" t="n"/>
      <c r="C32" s="117" t="n"/>
      <c r="D32" s="117" t="n"/>
      <c r="E32" s="117" t="n"/>
      <c r="F32" s="117" t="n"/>
      <c r="G32" s="117" t="n"/>
      <c r="H32" s="117" t="n"/>
      <c r="I32" s="117" t="n"/>
    </row>
    <row r="33">
      <c r="A33" s="117" t="n"/>
      <c r="B33" s="117" t="n"/>
      <c r="C33" s="117" t="n"/>
      <c r="D33" s="117" t="n"/>
      <c r="E33" s="117" t="n"/>
      <c r="F33" s="117" t="n"/>
      <c r="G33" s="117" t="n"/>
      <c r="H33" s="117" t="n"/>
      <c r="I33" s="117" t="n"/>
    </row>
    <row r="34">
      <c r="A34" s="117" t="n"/>
      <c r="B34" s="117" t="n"/>
      <c r="C34" s="117" t="n"/>
      <c r="D34" s="117" t="n"/>
      <c r="E34" s="117" t="n"/>
      <c r="F34" s="117" t="n"/>
      <c r="G34" s="117" t="n"/>
      <c r="H34" s="117" t="n"/>
      <c r="I34" s="117" t="n"/>
    </row>
    <row r="35">
      <c r="A35" s="117" t="n"/>
      <c r="B35" s="117" t="n"/>
      <c r="C35" s="117" t="n"/>
      <c r="D35" s="117" t="n"/>
      <c r="E35" s="117" t="n"/>
      <c r="F35" s="117" t="n"/>
      <c r="G35" s="117" t="n"/>
      <c r="H35" s="117" t="n"/>
      <c r="I35" s="117" t="n"/>
    </row>
    <row r="36">
      <c r="A36" s="117" t="n"/>
      <c r="B36" s="117" t="n"/>
      <c r="C36" s="117" t="n"/>
      <c r="D36" s="117" t="n"/>
      <c r="E36" s="117" t="n"/>
      <c r="F36" s="117" t="n"/>
      <c r="G36" s="117" t="n"/>
      <c r="H36" s="117" t="n"/>
      <c r="I36" s="117" t="n"/>
    </row>
    <row r="37">
      <c r="A37" s="117" t="n"/>
      <c r="B37" s="117" t="n"/>
      <c r="C37" s="117" t="n"/>
      <c r="D37" s="117" t="n"/>
      <c r="E37" s="117" t="n"/>
      <c r="F37" s="117" t="n"/>
      <c r="G37" s="117" t="n"/>
      <c r="H37" s="117" t="n"/>
      <c r="I37" s="117" t="n"/>
    </row>
    <row r="38">
      <c r="A38" s="117" t="n"/>
      <c r="B38" s="117" t="n"/>
      <c r="C38" s="117" t="n"/>
      <c r="D38" s="117" t="n"/>
      <c r="E38" s="117" t="n"/>
      <c r="F38" s="117" t="n"/>
      <c r="G38" s="117" t="n"/>
      <c r="H38" s="117" t="n"/>
      <c r="I38" s="1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2017-11-19T01:18:06Z</dcterms:created>
  <dcterms:modified xmlns:dcterms="http://purl.org/dc/terms/" xmlns:xsi="http://www.w3.org/2001/XMLSchema-instance" xsi:type="dcterms:W3CDTF">2026-10-23T00:36:21Z</dcterms:modified>
  <cp:lastModifiedBy>Windows User</cp:lastModifiedBy>
</cp:coreProperties>
</file>