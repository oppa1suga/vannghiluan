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ach hoc sin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<sst xmlns="http://schemas.openxmlformats.org/spreadsheetml/2006/main" count="15" uniqueCount="15">
  <si>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DANH SÁCH HỌC SINH</t>
  </si>
  <si>
    <t xml:space="preserve">Stt</t>
  </si>
  <si>
    <t xml:space="preserve">Họ tên</t>
  </si>
  <si>
    <t xml:space="preserve">Ngày sinh</t>
  </si>
  <si>
    <t xml:space="preserve">15'</t>
  </si>
  <si>
    <t xml:space="preserve">45'</t>
  </si>
  <si>
    <t xml:space="preserve">HK</t>
  </si>
  <si>
    <t xml:space="preserve">TBHK</t>
  </si>
  <si>
    <t xml:space="preserve">Xếp hạng</t>
  </si>
  <si>
    <t xml:space="preserve">Nguyễn Hửu Hạnh</t>
  </si>
  <si>
    <t xml:space="preserve">Võ Chí Thiện</t>
  </si>
  <si>
    <t xml:space="preserve">Trần Văn Kha</t>
  </si>
  <si>
    <t xml:space="preserve">Nguyễn Ngọc Dung</t>
  </si>
  <si>
    <t xml:space="preserve">Lê Minh Thao</t>
  </si>
  <si>
    <t xml:space="preserve">Lân Vân Tài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</si>
</sst>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Times New Roman"/>
      <family val="0"/>
      <charset val="1"/>
    </font>
    <font>
      <b val="true"/>
      <sz val="12"/>
      <color rgb="FFC00000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8" min="8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4" t="s">
        <v>9</v>
      </c>
      <c r="C3" s="3" t="n">
        <v>1988</v>
      </c>
      <c r="D3" s="3" t="n">
        <v>6</v>
      </c>
      <c r="E3" s="3" t="n">
        <v>5</v>
      </c>
      <c r="F3" s="3" t="n">
        <v>6</v>
      </c>
      <c r="G3" s="5" t="n">
        <f aca="false">(D3+E3*2+F3*3)/6</f>
        <v>5.66666666666667</v>
      </c>
      <c r="H3" s="3" t="n">
        <f aca="false">RANK(G3,$G$3:$G$8)</f>
        <v>5</v>
      </c>
    </row>
    <row r="4" customFormat="false" ht="15" hidden="false" customHeight="false" outlineLevel="0" collapsed="false">
      <c r="A4" s="3" t="n">
        <v>2</v>
      </c>
      <c r="B4" s="4" t="s">
        <v>10</v>
      </c>
      <c r="C4" s="3" t="n">
        <v>1987</v>
      </c>
      <c r="D4" s="3" t="n">
        <v>7</v>
      </c>
      <c r="E4" s="3" t="n">
        <v>8</v>
      </c>
      <c r="F4" s="3" t="n">
        <v>8</v>
      </c>
      <c r="G4" s="5" t="n">
        <f aca="false">(D4+E4*2+F4*3)/6</f>
        <v>7.83333333333333</v>
      </c>
      <c r="H4" s="3" t="n">
        <f aca="false">RANK(G4,$G$3:$G$8)</f>
        <v>3</v>
      </c>
    </row>
    <row r="5" customFormat="false" ht="15" hidden="false" customHeight="false" outlineLevel="0" collapsed="false">
      <c r="A5" s="3" t="n">
        <v>3</v>
      </c>
      <c r="B5" s="4" t="s">
        <v>11</v>
      </c>
      <c r="C5" s="3" t="n">
        <v>1988</v>
      </c>
      <c r="D5" s="3" t="n">
        <v>9</v>
      </c>
      <c r="E5" s="3" t="n">
        <v>10</v>
      </c>
      <c r="F5" s="3" t="n">
        <v>10</v>
      </c>
      <c r="G5" s="5" t="n">
        <f aca="false">(D5+E5*2+F5*3)/6</f>
        <v>9.83333333333333</v>
      </c>
      <c r="H5" s="3" t="n">
        <f aca="false">RANK(G5,$G$3:$G$8)</f>
        <v>1</v>
      </c>
    </row>
    <row r="6" customFormat="false" ht="15" hidden="false" customHeight="false" outlineLevel="0" collapsed="false">
      <c r="A6" s="3" t="n">
        <v>4</v>
      </c>
      <c r="B6" s="4" t="s">
        <v>12</v>
      </c>
      <c r="C6" s="3" t="n">
        <v>1988</v>
      </c>
      <c r="D6" s="3" t="n">
        <v>4</v>
      </c>
      <c r="E6" s="3" t="n">
        <v>5</v>
      </c>
      <c r="F6" s="3" t="n">
        <v>4</v>
      </c>
      <c r="G6" s="5" t="n">
        <f aca="false">(D6+E6*2+F6*3)/6</f>
        <v>4.33333333333333</v>
      </c>
      <c r="H6" s="3" t="n">
        <f aca="false">RANK(G6,$G$3:$G$8)</f>
        <v>6</v>
      </c>
    </row>
    <row r="7" customFormat="false" ht="15" hidden="false" customHeight="false" outlineLevel="0" collapsed="false">
      <c r="A7" s="3" t="n">
        <v>5</v>
      </c>
      <c r="B7" s="4" t="s">
        <v>13</v>
      </c>
      <c r="C7" s="3" t="n">
        <v>1988</v>
      </c>
      <c r="D7" s="3" t="n">
        <v>8</v>
      </c>
      <c r="E7" s="3" t="n">
        <v>9</v>
      </c>
      <c r="F7" s="3" t="n">
        <v>9</v>
      </c>
      <c r="G7" s="5" t="n">
        <f aca="false">(D7+E7*2+F7*3)/6</f>
        <v>8.83333333333333</v>
      </c>
      <c r="H7" s="3" t="n">
        <f aca="false">RANK(G7,$G$3:$G$8)</f>
        <v>2</v>
      </c>
    </row>
    <row r="8" customFormat="false" ht="15" hidden="false" customHeight="false" outlineLevel="0" collapsed="false">
      <c r="A8" s="3" t="n">
        <v>6</v>
      </c>
      <c r="B8" s="4" t="s">
        <v>14</v>
      </c>
      <c r="C8" s="3" t="n">
        <v>1989</v>
      </c>
      <c r="D8" s="3" t="n">
        <v>7</v>
      </c>
      <c r="E8" s="3" t="n">
        <v>6</v>
      </c>
      <c r="F8" s="3" t="n">
        <v>7</v>
      </c>
      <c r="G8" s="5" t="n">
        <f aca="false">(D8+E8*2+F8*3)/6</f>
        <v>6.66666666666667</v>
      </c>
      <c r="H8" s="3" t="n">
        <f aca="false">RANK(G8,$G$3:$G$8)</f>
        <v>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2026-10-16T01:11:48Z</dcterms:created>
  <dc:creator>openpyxl</dc:creator>
  <dc:description/>
  <dc:language>en-US</dc:language>
  <cp:lastModifiedBy/>
  <dcterms:modified xsi:type="dcterms:W3CDTF">2026-10-16T01:11:48Z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