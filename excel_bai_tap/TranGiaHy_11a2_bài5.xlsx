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ng nh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<sst xmlns="http://schemas.openxmlformats.org/spreadsheetml/2006/main" count="16" uniqueCount="16">
  <si>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BẢNG KÊ HÀNG NHẬP CỬA HÀNG SÁCH</t>
  </si>
  <si>
    <t xml:space="preserve">Stt</t>
  </si>
  <si>
    <t xml:space="preserve">loại sách</t>
  </si>
  <si>
    <t xml:space="preserve">Số lượng</t>
  </si>
  <si>
    <t xml:space="preserve">Đơn giá</t>
  </si>
  <si>
    <t xml:space="preserve">Trị giá</t>
  </si>
  <si>
    <t xml:space="preserve">Cước VC</t>
  </si>
  <si>
    <t xml:space="preserve">Thuế</t>
  </si>
  <si>
    <t xml:space="preserve">Cộng</t>
  </si>
  <si>
    <t xml:space="preserve">Giáo khoa</t>
  </si>
  <si>
    <t xml:space="preserve">Lịch sử</t>
  </si>
  <si>
    <t xml:space="preserve">Tin học</t>
  </si>
  <si>
    <t xml:space="preserve">Gia chánh</t>
  </si>
  <si>
    <t xml:space="preserve">Ngữ văn</t>
  </si>
  <si>
    <t xml:space="preserve">Truyện</t>
  </si>
  <si>
    <t xml:space="preserve">Tổng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</si>
</sst>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b val="true"/>
      <sz val="12"/>
      <color rgb="FFC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5D9F1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n">
        <v>1</v>
      </c>
      <c r="B3" s="4" t="s">
        <v>9</v>
      </c>
      <c r="C3" s="4" t="n">
        <v>46</v>
      </c>
      <c r="D3" s="5" t="n">
        <v>45000</v>
      </c>
      <c r="E3" s="5" t="n">
        <f aca="false">C3*D3</f>
        <v>2070000</v>
      </c>
      <c r="F3" s="6" t="n">
        <f aca="false">C3*0.0112</f>
        <v>0.5152</v>
      </c>
      <c r="G3" s="7" t="n">
        <f aca="false">E3*0.0325</f>
        <v>67275</v>
      </c>
      <c r="H3" s="7" t="n">
        <f aca="false">E3+G3+F3</f>
        <v>2137275.5152</v>
      </c>
    </row>
    <row r="4" customFormat="false" ht="15" hidden="false" customHeight="false" outlineLevel="0" collapsed="false">
      <c r="A4" s="3" t="n">
        <v>2</v>
      </c>
      <c r="B4" s="4" t="s">
        <v>10</v>
      </c>
      <c r="C4" s="4" t="n">
        <v>72</v>
      </c>
      <c r="D4" s="5" t="n">
        <v>24300</v>
      </c>
      <c r="E4" s="5" t="n">
        <f aca="false">C4*D4</f>
        <v>1749600</v>
      </c>
      <c r="F4" s="6" t="n">
        <f aca="false">C4*0.0112</f>
        <v>0.8064</v>
      </c>
      <c r="G4" s="7" t="n">
        <f aca="false">E4*0.0325</f>
        <v>56862</v>
      </c>
      <c r="H4" s="7" t="n">
        <f aca="false">E4+G4+F4</f>
        <v>1806462.8064</v>
      </c>
    </row>
    <row r="5" customFormat="false" ht="15" hidden="false" customHeight="false" outlineLevel="0" collapsed="false">
      <c r="A5" s="3" t="n">
        <v>3</v>
      </c>
      <c r="B5" s="4" t="s">
        <v>11</v>
      </c>
      <c r="C5" s="4" t="n">
        <v>81</v>
      </c>
      <c r="D5" s="5" t="n">
        <v>57000</v>
      </c>
      <c r="E5" s="5" t="n">
        <f aca="false">C5*D5</f>
        <v>4617000</v>
      </c>
      <c r="F5" s="6" t="n">
        <f aca="false">C5*0.0112</f>
        <v>0.9072</v>
      </c>
      <c r="G5" s="7" t="n">
        <f aca="false">E5*0.0325</f>
        <v>150052.5</v>
      </c>
      <c r="H5" s="7" t="n">
        <f aca="false">E5+G5+F5</f>
        <v>4767053.4072</v>
      </c>
    </row>
    <row r="6" customFormat="false" ht="15" hidden="false" customHeight="false" outlineLevel="0" collapsed="false">
      <c r="A6" s="3" t="n">
        <v>4</v>
      </c>
      <c r="B6" s="4" t="s">
        <v>12</v>
      </c>
      <c r="C6" s="4" t="n">
        <v>120</v>
      </c>
      <c r="D6" s="5" t="n">
        <v>29540</v>
      </c>
      <c r="E6" s="5" t="n">
        <f aca="false">C6*D6</f>
        <v>3544800</v>
      </c>
      <c r="F6" s="6" t="n">
        <f aca="false">C6*0.0112</f>
        <v>1.344</v>
      </c>
      <c r="G6" s="7" t="n">
        <f aca="false">E6*0.0325</f>
        <v>115206</v>
      </c>
      <c r="H6" s="7" t="n">
        <f aca="false">E6+G6+F6</f>
        <v>3660007.344</v>
      </c>
    </row>
    <row r="7" customFormat="false" ht="15" hidden="false" customHeight="false" outlineLevel="0" collapsed="false">
      <c r="A7" s="3" t="n">
        <v>5</v>
      </c>
      <c r="B7" s="4" t="s">
        <v>13</v>
      </c>
      <c r="C7" s="4" t="n">
        <v>30</v>
      </c>
      <c r="D7" s="5" t="n">
        <v>54300</v>
      </c>
      <c r="E7" s="5" t="n">
        <f aca="false">C7*D7</f>
        <v>1629000</v>
      </c>
      <c r="F7" s="6" t="n">
        <f aca="false">C7*0.0112</f>
        <v>0.336</v>
      </c>
      <c r="G7" s="7" t="n">
        <f aca="false">E7*0.0325</f>
        <v>52942.5</v>
      </c>
      <c r="H7" s="7" t="n">
        <f aca="false">E7+G7+F7</f>
        <v>1681942.836</v>
      </c>
    </row>
    <row r="8" customFormat="false" ht="15" hidden="false" customHeight="false" outlineLevel="0" collapsed="false">
      <c r="A8" s="3" t="n">
        <v>6</v>
      </c>
      <c r="B8" s="4" t="s">
        <v>14</v>
      </c>
      <c r="C8" s="4" t="n">
        <v>109</v>
      </c>
      <c r="D8" s="5" t="n">
        <v>12400</v>
      </c>
      <c r="E8" s="5" t="n">
        <f aca="false">C8*D8</f>
        <v>1351600</v>
      </c>
      <c r="F8" s="6" t="n">
        <f aca="false">C8*0.0112</f>
        <v>1.2208</v>
      </c>
      <c r="G8" s="7" t="n">
        <f aca="false">E8*0.0325</f>
        <v>43927</v>
      </c>
      <c r="H8" s="7" t="n">
        <f aca="false">E8+G8+F8</f>
        <v>1395528.2208</v>
      </c>
    </row>
    <row r="9" customFormat="false" ht="15" hidden="false" customHeight="false" outlineLevel="0" collapsed="false">
      <c r="B9" s="8" t="s">
        <v>15</v>
      </c>
      <c r="E9" s="9" t="n">
        <f aca="false">SUM(E3:E8)</f>
        <v>14962000</v>
      </c>
      <c r="F9" s="10" t="n">
        <f aca="false">SUM(F3:F8)</f>
        <v>5.1296</v>
      </c>
      <c r="G9" s="10" t="n">
        <f aca="false">SUM(G3:G8)</f>
        <v>486265</v>
      </c>
      <c r="H9" s="10" t="n">
        <f aca="false">SUM(H3:H8)</f>
        <v>15448270.1296</v>
      </c>
    </row>
    <row r="10" customFormat="false" ht="15" hidden="false" customHeight="false" outlineLevel="0" collapsed="false">
      <c r="E10" s="9" t="n">
        <f aca="false">AVERAGE(E3:E8)</f>
        <v>2493666.66666667</v>
      </c>
      <c r="F10" s="10" t="n">
        <f aca="false">MIN(F3:F8)</f>
        <v>0.336</v>
      </c>
      <c r="G10" s="10" t="n">
        <f aca="false">MAX(G3:G8)</f>
        <v>150052.5</v>
      </c>
      <c r="H10" s="10" t="n">
        <f aca="false">MAX(H3:H8)</f>
        <v>4767053.4072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2026-10-16T01:12:49Z</dcterms:created>
  <dc:creator>openpyxl</dc:creator>
  <dc:description/>
  <dc:language>en-US</dc:language>
  <cp:lastModifiedBy/>
  <dcterms:modified xsi:type="dcterms:W3CDTF">2026-10-16T01:12:49Z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