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m thi ngh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<sst xmlns="http://schemas.openxmlformats.org/spreadsheetml/2006/main" count="19" uniqueCount="19">
  <si>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ĐIỂM THI NGHỀ NĂM HỌC 2017 - 2018</t>
  </si>
  <si>
    <t xml:space="preserve">HỌ TÊN</t>
  </si>
  <si>
    <t xml:space="preserve">ĐIỂM</t>
  </si>
  <si>
    <t xml:space="preserve">ĐỐI TƯỢNG</t>
  </si>
  <si>
    <t xml:space="preserve">ĐIỂM W+E</t>
  </si>
  <si>
    <t xml:space="preserve">ĐIỂM TH</t>
  </si>
  <si>
    <t xml:space="preserve">ĐIỂM TB</t>
  </si>
  <si>
    <t xml:space="preserve">KẾT QUẢ</t>
  </si>
  <si>
    <t xml:space="preserve">XẾP LOẠI</t>
  </si>
  <si>
    <t xml:space="preserve">HỌC BỔNG</t>
  </si>
  <si>
    <t xml:space="preserve">LÊ VĂN TÈO</t>
  </si>
  <si>
    <t xml:space="preserve">070809</t>
  </si>
  <si>
    <t xml:space="preserve">A</t>
  </si>
  <si>
    <t xml:space="preserve">NGUYỄN THỊ TÍ</t>
  </si>
  <si>
    <t xml:space="preserve">041003</t>
  </si>
  <si>
    <t xml:space="preserve">B</t>
  </si>
  <si>
    <t xml:space="preserve">PHẠM VĂN TẸO</t>
  </si>
  <si>
    <t xml:space="preserve">100910</t>
  </si>
  <si>
    <t xml:space="preserve">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</si>
</sst>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"/>
    <numFmt numFmtId="168" formatCode="0.00"/>
    <numFmt numFmtId="169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4" t="s">
        <v>11</v>
      </c>
      <c r="C3" s="5" t="s">
        <v>12</v>
      </c>
      <c r="D3" s="6" t="n">
        <f aca="false">(VALUE(MID(B3,1,2))+VALUE(MID(B3,3,2)))/2</f>
        <v>7.5</v>
      </c>
      <c r="E3" s="7" t="n">
        <f aca="false">VALUE(MID(B3,5,2))</f>
        <v>9</v>
      </c>
      <c r="F3" s="8" t="n">
        <f aca="false">ROUND((D3+E3*3)/4,2)</f>
        <v>8.63</v>
      </c>
      <c r="G3" s="5" t="str">
        <f aca="false">IF(F3&gt;=5,"đậu","rớt")</f>
        <v>đậu</v>
      </c>
      <c r="H3" s="5" t="str">
        <f aca="false">IF(F3&gt;=8,"giỏi",IF(F3&gt;=6.5,"khá",IF(F3&gt;=5,"tb","yếu - kém")))</f>
        <v>giỏi</v>
      </c>
      <c r="I3" s="9" t="n">
        <f aca="false">IF(AND(OR(C3="A",C3="B"),F3&gt;=8),5000000,0)</f>
        <v>5000000</v>
      </c>
    </row>
    <row r="4" customFormat="false" ht="15" hidden="false" customHeight="false" outlineLevel="0" collapsed="false">
      <c r="A4" s="3" t="s">
        <v>13</v>
      </c>
      <c r="B4" s="4" t="s">
        <v>14</v>
      </c>
      <c r="C4" s="5" t="s">
        <v>15</v>
      </c>
      <c r="D4" s="6" t="n">
        <f aca="false">(VALUE(MID(B4,1,2))+VALUE(MID(B4,3,2)))/2</f>
        <v>7</v>
      </c>
      <c r="E4" s="7" t="n">
        <f aca="false">VALUE(MID(B4,5,2))</f>
        <v>3</v>
      </c>
      <c r="F4" s="8" t="n">
        <f aca="false">ROUND((D4+E4*3)/4,2)</f>
        <v>4</v>
      </c>
      <c r="G4" s="5" t="str">
        <f aca="false">IF(F4&gt;=5,"đậu","rớt")</f>
        <v>rớt</v>
      </c>
      <c r="H4" s="5" t="str">
        <f aca="false">IF(F4&gt;=8,"giỏi",IF(F4&gt;=6.5,"khá",IF(F4&gt;=5,"tb","yếu - kém")))</f>
        <v>yếu - kém</v>
      </c>
      <c r="I4" s="9" t="n">
        <f aca="false">IF(AND(OR(C4="A",C4="B"),F4&gt;=8),5000000,0)</f>
        <v>0</v>
      </c>
    </row>
    <row r="5" customFormat="false" ht="15" hidden="false" customHeight="false" outlineLevel="0" collapsed="false">
      <c r="A5" s="3" t="s">
        <v>16</v>
      </c>
      <c r="B5" s="4" t="s">
        <v>17</v>
      </c>
      <c r="C5" s="5" t="s">
        <v>18</v>
      </c>
      <c r="D5" s="6" t="n">
        <f aca="false">(VALUE(MID(B5,1,2))+VALUE(MID(B5,3,2)))/2</f>
        <v>9.5</v>
      </c>
      <c r="E5" s="7" t="n">
        <f aca="false">VALUE(MID(B5,5,2))</f>
        <v>10</v>
      </c>
      <c r="F5" s="8" t="n">
        <f aca="false">ROUND((D5+E5*3)/4,2)</f>
        <v>9.88</v>
      </c>
      <c r="G5" s="5" t="str">
        <f aca="false">IF(F5&gt;=5,"đậu","rớt")</f>
        <v>đậu</v>
      </c>
      <c r="H5" s="5" t="str">
        <f aca="false">IF(F5&gt;=8,"giỏi",IF(F5&gt;=6.5,"khá",IF(F5&gt;=5,"tb","yếu - kém")))</f>
        <v>giỏi</v>
      </c>
      <c r="I5" s="9" t="n">
        <f aca="false">IF(AND(OR(C5="A",C5="B"),F5&gt;=8),5000000,0)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2026-10-16T01:12:48Z</dcterms:created>
  <dc:creator>openpyxl</dc:creator>
  <dc:description/>
  <dc:language>en-US</dc:language>
  <cp:lastModifiedBy/>
  <dcterms:modified xsi:type="dcterms:W3CDTF">2026-10-16T01:12:48Z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