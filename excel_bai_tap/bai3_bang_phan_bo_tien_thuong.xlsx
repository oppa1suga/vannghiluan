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n thu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<sst xmlns="http://schemas.openxmlformats.org/spreadsheetml/2006/main" count="20" uniqueCount="20">
  <si>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BẢNG PHÂN BỐ TIỀN THƯỞNG NĂM 2000</t>
  </si>
  <si>
    <t xml:space="preserve">STT</t>
  </si>
  <si>
    <t xml:space="preserve">họ và tên</t>
  </si>
  <si>
    <t xml:space="preserve">Lương</t>
  </si>
  <si>
    <t xml:space="preserve">Tháng bắt đầu</t>
  </si>
  <si>
    <t xml:space="preserve">Số tháng</t>
  </si>
  <si>
    <t xml:space="preserve">Tiền thưởng</t>
  </si>
  <si>
    <t xml:space="preserve">Bảo hiểm XH</t>
  </si>
  <si>
    <t xml:space="preserve">Số tiền lãnh</t>
  </si>
  <si>
    <t xml:space="preserve">Trần Văn Ba</t>
  </si>
  <si>
    <t xml:space="preserve">Nguyễn Toàn</t>
  </si>
  <si>
    <t xml:space="preserve">Huỳnh Tuấn Lý</t>
  </si>
  <si>
    <t xml:space="preserve">Đỗ Tuyên</t>
  </si>
  <si>
    <t xml:space="preserve">Trần Hoài</t>
  </si>
  <si>
    <t xml:space="preserve">Nguyễn Mỹ Dung</t>
  </si>
  <si>
    <t xml:space="preserve">Cao nhất | Thấp nhất | Bình quân</t>
  </si>
  <si>
    <t xml:space="preserve">Tham số (ô nhập, tô vàng):</t>
  </si>
  <si>
    <t xml:space="preserve">Tổng số tháng</t>
  </si>
  <si>
    <t xml:space="preserve">Tổng tiền thưởng của công ty (đồng)</t>
  </si>
  <si>
    <t xml:space="preserve">Tỉ lệ bảo hiểm XH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</si>
</sst>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"/>
    <numFmt numFmtId="167" formatCode="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FF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5D79B"/>
        <bgColor rgb="FFFFCC99"/>
      </patternFill>
    </fill>
    <fill>
      <patternFill patternType="solid">
        <fgColor rgb="FFB1A0C7"/>
        <bgColor rgb="FF9999FF"/>
      </patternFill>
    </fill>
    <fill>
      <patternFill patternType="solid">
        <fgColor rgb="FF92CDDC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4" t="n">
        <v>350</v>
      </c>
      <c r="D3" s="4" t="n">
        <v>1</v>
      </c>
      <c r="E3" s="3" t="n">
        <f aca="false">$C$12-D3</f>
        <v>12</v>
      </c>
      <c r="F3" s="5" t="n">
        <f aca="false">ROUND(($C$13*E3)/$C$12,1)</f>
        <v>18461538.5</v>
      </c>
      <c r="G3" s="6" t="n">
        <f aca="false">F3*$C$14</f>
        <v>1384615.3875</v>
      </c>
      <c r="H3" s="7" t="n">
        <f aca="false">F3-G3</f>
        <v>17076923.1125</v>
      </c>
    </row>
    <row r="4" customFormat="false" ht="15" hidden="false" customHeight="false" outlineLevel="0" collapsed="false">
      <c r="A4" s="3" t="n">
        <v>2</v>
      </c>
      <c r="B4" s="4" t="s">
        <v>10</v>
      </c>
      <c r="C4" s="4" t="n">
        <v>340</v>
      </c>
      <c r="D4" s="4" t="n">
        <v>1</v>
      </c>
      <c r="E4" s="3" t="n">
        <f aca="false">$C$12-D4</f>
        <v>12</v>
      </c>
      <c r="F4" s="5" t="n">
        <f aca="false">ROUND(($C$13*E4)/$C$12,1)</f>
        <v>18461538.5</v>
      </c>
      <c r="G4" s="6" t="n">
        <f aca="false">F4*$C$14</f>
        <v>1384615.3875</v>
      </c>
      <c r="H4" s="7" t="n">
        <f aca="false">F4-G4</f>
        <v>17076923.1125</v>
      </c>
    </row>
    <row r="5" customFormat="false" ht="15" hidden="false" customHeight="false" outlineLevel="0" collapsed="false">
      <c r="A5" s="3" t="n">
        <v>3</v>
      </c>
      <c r="B5" s="4" t="s">
        <v>11</v>
      </c>
      <c r="C5" s="4" t="n">
        <v>330</v>
      </c>
      <c r="D5" s="4" t="n">
        <v>2</v>
      </c>
      <c r="E5" s="3" t="n">
        <f aca="false">$C$12-D5</f>
        <v>11</v>
      </c>
      <c r="F5" s="5" t="n">
        <f aca="false">ROUND(($C$13*E5)/$C$12,1)</f>
        <v>16923076.9</v>
      </c>
      <c r="G5" s="6" t="n">
        <f aca="false">F5*$C$14</f>
        <v>1269230.7675</v>
      </c>
      <c r="H5" s="7" t="n">
        <f aca="false">F5-G5</f>
        <v>15653846.1325</v>
      </c>
    </row>
    <row r="6" customFormat="false" ht="15" hidden="false" customHeight="false" outlineLevel="0" collapsed="false">
      <c r="A6" s="3" t="n">
        <v>4</v>
      </c>
      <c r="B6" s="4" t="s">
        <v>12</v>
      </c>
      <c r="C6" s="4" t="n">
        <v>280</v>
      </c>
      <c r="D6" s="4" t="n">
        <v>5</v>
      </c>
      <c r="E6" s="3" t="n">
        <f aca="false">$C$12-D6</f>
        <v>8</v>
      </c>
      <c r="F6" s="5" t="n">
        <f aca="false">ROUND(($C$13*E6)/$C$12,1)</f>
        <v>12307692.3</v>
      </c>
      <c r="G6" s="6" t="n">
        <f aca="false">F6*$C$14</f>
        <v>923076.9225</v>
      </c>
      <c r="H6" s="7" t="n">
        <f aca="false">F6-G6</f>
        <v>11384615.3775</v>
      </c>
    </row>
    <row r="7" customFormat="false" ht="15" hidden="false" customHeight="false" outlineLevel="0" collapsed="false">
      <c r="A7" s="3" t="n">
        <v>5</v>
      </c>
      <c r="B7" s="4" t="s">
        <v>13</v>
      </c>
      <c r="C7" s="4" t="n">
        <v>330</v>
      </c>
      <c r="D7" s="4" t="n">
        <v>1</v>
      </c>
      <c r="E7" s="3" t="n">
        <f aca="false">$C$12-D7</f>
        <v>12</v>
      </c>
      <c r="F7" s="5" t="n">
        <f aca="false">ROUND(($C$13*E7)/$C$12,1)</f>
        <v>18461538.5</v>
      </c>
      <c r="G7" s="6" t="n">
        <f aca="false">F7*$C$14</f>
        <v>1384615.3875</v>
      </c>
      <c r="H7" s="7" t="n">
        <f aca="false">F7-G7</f>
        <v>17076923.1125</v>
      </c>
    </row>
    <row r="8" customFormat="false" ht="15" hidden="false" customHeight="false" outlineLevel="0" collapsed="false">
      <c r="A8" s="3" t="n">
        <v>6</v>
      </c>
      <c r="B8" s="4" t="s">
        <v>14</v>
      </c>
      <c r="C8" s="4" t="n">
        <v>340</v>
      </c>
      <c r="D8" s="4" t="n">
        <v>7</v>
      </c>
      <c r="E8" s="3" t="n">
        <f aca="false">$C$12-D8</f>
        <v>6</v>
      </c>
      <c r="F8" s="5" t="n">
        <f aca="false">ROUND(($C$13*E8)/$C$12,1)</f>
        <v>9230769.2</v>
      </c>
      <c r="G8" s="6" t="n">
        <f aca="false">F8*$C$14</f>
        <v>692307.69</v>
      </c>
      <c r="H8" s="7" t="n">
        <f aca="false">F8-G8</f>
        <v>8538461.51</v>
      </c>
    </row>
    <row r="9" customFormat="false" ht="15" hidden="false" customHeight="false" outlineLevel="0" collapsed="false">
      <c r="B9" s="8" t="s">
        <v>15</v>
      </c>
      <c r="F9" s="9" t="n">
        <f aca="false">MAX(F3:F8)</f>
        <v>18461538.5</v>
      </c>
      <c r="G9" s="9" t="n">
        <f aca="false">MIN(G3:G8)</f>
        <v>692307.69</v>
      </c>
      <c r="H9" s="9" t="n">
        <f aca="false">AVERAGE(H3:H8)</f>
        <v>14467948.72625</v>
      </c>
    </row>
    <row r="11" customFormat="false" ht="15" hidden="false" customHeight="false" outlineLevel="0" collapsed="false">
      <c r="A11" s="8" t="s">
        <v>16</v>
      </c>
    </row>
    <row r="12" customFormat="false" ht="15" hidden="false" customHeight="false" outlineLevel="0" collapsed="false">
      <c r="B12" s="10" t="s">
        <v>17</v>
      </c>
      <c r="C12" s="11" t="n">
        <v>13</v>
      </c>
    </row>
    <row r="13" customFormat="false" ht="15" hidden="false" customHeight="false" outlineLevel="0" collapsed="false">
      <c r="B13" s="10" t="s">
        <v>18</v>
      </c>
      <c r="C13" s="12" t="n">
        <v>20000000</v>
      </c>
    </row>
    <row r="14" customFormat="false" ht="15" hidden="false" customHeight="false" outlineLevel="0" collapsed="false">
      <c r="B14" s="10" t="s">
        <v>19</v>
      </c>
      <c r="C14" s="13" t="n">
        <v>0.075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2026-10-16T01:11:48Z</dcterms:created>
  <dc:creator>openpyxl</dc:creator>
  <dc:description/>
  <dc:language>en-US</dc:language>
  <cp:lastModifiedBy/>
  <dcterms:modified xsi:type="dcterms:W3CDTF">2026-10-16T01:11:48Z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