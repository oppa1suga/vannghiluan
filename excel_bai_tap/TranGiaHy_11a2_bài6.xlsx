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300" tabRatio="600" firstSheet="0" activeTab="1" autoFilterDateGrouping="1"/>
  </bookViews>
  <sheets>
    <sheet xmlns:r="http://schemas.openxmlformats.org/officeDocument/2006/relationships" name="Yeu cau" sheetId="1" state="visible" r:id="rId1"/>
    <sheet xmlns:r="http://schemas.openxmlformats.org/officeDocument/2006/relationships" name="Question" sheetId="2" state="visible" r:id="rId2"/>
    <sheet xmlns:r="http://schemas.openxmlformats.org/officeDocument/2006/relationships" name="bai 1" sheetId="3" state="visible" r:id="rId3"/>
    <sheet xmlns:r="http://schemas.openxmlformats.org/officeDocument/2006/relationships" name="2016" sheetId="4" state="visible" r:id="rId4"/>
    <sheet xmlns:r="http://schemas.openxmlformats.org/officeDocument/2006/relationships" name="2015" sheetId="5" state="visible" r:id="rId5"/>
    <sheet xmlns:r="http://schemas.openxmlformats.org/officeDocument/2006/relationships" name="2014" sheetId="6" state="visible" r:id="rId6"/>
  </sheets>
  <definedNames>
    <definedName name="DATA">'2016'!$C$3:$H$9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\(#,##0\);_(&quot;$&quot;* &quot;-&quot;??_);_(@_)"/>
    <numFmt numFmtId="165" formatCode="#,##0\ &quot;VNĐ&quot;"/>
  </numFmts>
  <fonts count="39">
    <font>
      <name val="Calibri"/>
      <color rgb="FF000000"/>
      <sz val="11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color rgb="FF000000"/>
      <sz val="11"/>
    </font>
    <font>
      <name val="Times New Roman"/>
      <family val="1"/>
      <sz val="12"/>
    </font>
    <font>
      <name val="Times New Roman"/>
      <family val="1"/>
      <color rgb="FF000000"/>
      <sz val="13"/>
    </font>
    <font>
      <name val="Times New Roman"/>
      <family val="1"/>
      <sz val="13"/>
    </font>
    <font>
      <name val="Times New Roman"/>
      <family val="1"/>
      <b val="1"/>
      <sz val="12"/>
      <u val="single"/>
    </font>
    <font>
      <name val="Times New Roman"/>
      <family val="1"/>
      <b val="1"/>
      <color rgb="FFFF0000"/>
      <sz val="13"/>
    </font>
    <font>
      <name val="Times New Roman"/>
      <family val="1"/>
      <b val="1"/>
      <color rgb="FF002060"/>
      <sz val="13"/>
    </font>
    <font>
      <name val="Times New Roman"/>
      <family val="1"/>
      <color rgb="FFFFFF00"/>
      <sz val="13"/>
    </font>
    <font>
      <name val="Times New Roman"/>
      <family val="1"/>
      <b val="1"/>
      <i val="1"/>
      <color rgb="FFFF0000"/>
      <sz val="12"/>
    </font>
    <font>
      <name val="Times New Roman"/>
      <family val="1"/>
      <i val="1"/>
      <color rgb="FFFF0000"/>
      <sz val="12"/>
    </font>
    <font>
      <name val="Times New Roman"/>
      <family val="1"/>
      <b val="1"/>
      <sz val="12"/>
    </font>
    <font>
      <name val="Times New Roman"/>
      <family val="1"/>
      <i val="1"/>
      <sz val="12"/>
    </font>
    <font>
      <name val="Times New Roman"/>
      <family val="1"/>
      <color rgb="FFFF0000"/>
      <sz val="12"/>
    </font>
    <font>
      <name val="Times New Roman"/>
      <family val="1"/>
      <b val="1"/>
      <color theme="7" tint="-0.499984740745262"/>
      <sz val="13"/>
    </font>
    <font>
      <name val="Times New Roman"/>
      <family val="1"/>
      <b val="1"/>
      <color theme="9" tint="-0.249977111117893"/>
      <sz val="13"/>
    </font>
    <font>
      <name val="Times New Roman"/>
      <family val="1"/>
      <b val="1"/>
      <color rgb="FF7030A0"/>
      <sz val="18"/>
    </font>
    <font>
      <name val="Times New Roman"/>
      <family val="1"/>
      <b val="1"/>
      <color rgb="FF7030A0"/>
      <sz val="16"/>
    </font>
    <font>
      <name val="Times New Roman"/>
      <family val="1"/>
      <color rgb="FF7030A0"/>
      <sz val="12"/>
    </font>
    <font>
      <name val="Times New Roman"/>
      <family val="1"/>
      <b val="1"/>
      <color theme="6" tint="0.7999816888943144"/>
      <sz val="13"/>
    </font>
    <font>
      <name val="Times New Roman"/>
      <family val="1"/>
      <b val="1"/>
      <color theme="7" tint="-0.499984740745262"/>
      <sz val="12"/>
    </font>
    <font>
      <name val="Times New Roman"/>
      <family val="1"/>
      <b val="1"/>
      <color theme="9" tint="-0.499984740745262"/>
      <sz val="13"/>
    </font>
    <font>
      <name val="Times New Roman"/>
      <family val="1"/>
      <b val="1"/>
      <color theme="0"/>
      <sz val="13"/>
    </font>
    <font>
      <name val="Times New Roman"/>
      <family val="1"/>
      <b val="1"/>
      <color theme="6" tint="-0.249977111117893"/>
      <sz val="16"/>
    </font>
    <font>
      <name val="Times New Roman"/>
      <family val="1"/>
      <b val="1"/>
      <color rgb="FFC00000"/>
      <sz val="13"/>
    </font>
    <font>
      <name val="Calibri"/>
      <family val="2"/>
      <color rgb="FF000000"/>
      <sz val="11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i val="1"/>
      <color rgb="FF0000FF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color rgb="FFFF0000"/>
      <sz val="15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color theme="1"/>
      <sz val="12"/>
    </font>
    <font>
      <name val="Times New Roman"/>
      <family val="1"/>
      <b val="1"/>
      <color theme="1"/>
      <sz val="18"/>
      <u val="single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rgb="FF0000FF"/>
      <sz val="12"/>
    </font>
    <font>
      <name val="Times New Roman"/>
      <family val="1"/>
      <color rgb="FF0000FF"/>
      <sz val="12"/>
      <u val="single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/>
    <xf numFmtId="0" fontId="1" fillId="0" borderId="0" applyAlignment="1">
      <alignment vertical="center"/>
    </xf>
    <xf numFmtId="0" fontId="27" fillId="0" borderId="0"/>
  </cellStyleXfs>
  <cellXfs count="8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1"/>
    <xf numFmtId="0" fontId="5" fillId="0" borderId="0" pivotButton="0" quotePrefix="0" xfId="0"/>
    <xf numFmtId="0" fontId="6" fillId="0" borderId="5" pivotButton="0" quotePrefix="0" xfId="1"/>
    <xf numFmtId="0" fontId="6" fillId="0" borderId="1" pivotButton="0" quotePrefix="0" xfId="1"/>
    <xf numFmtId="0" fontId="6" fillId="0" borderId="6" pivotButton="0" quotePrefix="0" xfId="1"/>
    <xf numFmtId="0" fontId="6" fillId="0" borderId="7" pivotButton="0" quotePrefix="0" xfId="1"/>
    <xf numFmtId="0" fontId="6" fillId="0" borderId="8" pivotButton="0" quotePrefix="0" xfId="1"/>
    <xf numFmtId="0" fontId="6" fillId="0" borderId="9" pivotButton="0" quotePrefix="0" xfId="1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1"/>
    <xf numFmtId="0" fontId="4" fillId="0" borderId="0" applyAlignment="1" pivotButton="0" quotePrefix="0" xfId="1">
      <alignment horizontal="right"/>
    </xf>
    <xf numFmtId="0" fontId="4" fillId="0" borderId="0" applyAlignment="1" pivotButton="0" quotePrefix="0" xfId="1">
      <alignment horizontal="center"/>
    </xf>
    <xf numFmtId="0" fontId="6" fillId="0" borderId="0" pivotButton="0" quotePrefix="0" xfId="1"/>
    <xf numFmtId="0" fontId="6" fillId="0" borderId="0" applyAlignment="1" pivotButton="0" quotePrefix="0" xfId="1">
      <alignment horizontal="right"/>
    </xf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164" fontId="8" fillId="0" borderId="1" applyAlignment="1" pivotButton="0" quotePrefix="0" xfId="2">
      <alignment horizontal="center"/>
    </xf>
    <xf numFmtId="165" fontId="9" fillId="0" borderId="6" applyAlignment="1" pivotButton="0" quotePrefix="0" xfId="1">
      <alignment horizontal="center"/>
    </xf>
    <xf numFmtId="0" fontId="2" fillId="0" borderId="0" applyAlignment="1" pivotButton="0" quotePrefix="0" xfId="1">
      <alignment horizontal="center" vertical="center"/>
    </xf>
    <xf numFmtId="0" fontId="4" fillId="0" borderId="0" pivotButton="0" quotePrefix="0" xfId="1"/>
    <xf numFmtId="0" fontId="7" fillId="0" borderId="0" pivotButton="0" quotePrefix="0" xfId="1"/>
    <xf numFmtId="0" fontId="12" fillId="0" borderId="0" pivotButton="0" quotePrefix="0" xfId="1"/>
    <xf numFmtId="0" fontId="4" fillId="0" borderId="0" pivotButton="0" quotePrefix="0" xfId="1"/>
    <xf numFmtId="0" fontId="13" fillId="0" borderId="0" applyAlignment="1" pivotButton="0" quotePrefix="0" xfId="1">
      <alignment horizontal="right"/>
    </xf>
    <xf numFmtId="0" fontId="4" fillId="0" borderId="0" pivotButton="0" quotePrefix="0" xfId="0"/>
    <xf numFmtId="0" fontId="7" fillId="0" borderId="0" pivotButton="0" quotePrefix="0" xfId="1"/>
    <xf numFmtId="0" fontId="14" fillId="0" borderId="0" pivotButton="0" quotePrefix="0" xfId="1"/>
    <xf numFmtId="0" fontId="15" fillId="0" borderId="0" pivotButton="0" quotePrefix="0" xfId="0"/>
    <xf numFmtId="0" fontId="19" fillId="0" borderId="0" pivotButton="0" quotePrefix="0" xfId="1"/>
    <xf numFmtId="0" fontId="20" fillId="0" borderId="0" pivotButton="0" quotePrefix="0" xfId="1"/>
    <xf numFmtId="0" fontId="21" fillId="4" borderId="2" applyAlignment="1" pivotButton="0" quotePrefix="0" xfId="1">
      <alignment horizontal="center" vertical="center" wrapText="1"/>
    </xf>
    <xf numFmtId="0" fontId="21" fillId="4" borderId="3" applyAlignment="1" pivotButton="0" quotePrefix="0" xfId="1">
      <alignment horizontal="center" vertical="center" wrapText="1"/>
    </xf>
    <xf numFmtId="0" fontId="21" fillId="4" borderId="4" applyAlignment="1" pivotButton="0" quotePrefix="0" xfId="1">
      <alignment horizontal="center" vertical="center" wrapText="1"/>
    </xf>
    <xf numFmtId="0" fontId="16" fillId="0" borderId="0" pivotButton="0" quotePrefix="0" xfId="0"/>
    <xf numFmtId="0" fontId="22" fillId="0" borderId="0" pivotButton="0" quotePrefix="0" xfId="1"/>
    <xf numFmtId="0" fontId="10" fillId="3" borderId="0" pivotButton="0" quotePrefix="0" xfId="1"/>
    <xf numFmtId="0" fontId="23" fillId="0" borderId="0" pivotButton="0" quotePrefix="0" xfId="0"/>
    <xf numFmtId="0" fontId="24" fillId="5" borderId="2" applyAlignment="1" pivotButton="0" quotePrefix="0" xfId="1">
      <alignment horizontal="center" vertical="center" wrapText="1"/>
    </xf>
    <xf numFmtId="0" fontId="24" fillId="5" borderId="3" applyAlignment="1" pivotButton="0" quotePrefix="0" xfId="1">
      <alignment horizontal="center" vertical="center" wrapText="1"/>
    </xf>
    <xf numFmtId="0" fontId="24" fillId="5" borderId="4" applyAlignment="1" pivotButton="0" quotePrefix="0" xfId="1">
      <alignment horizontal="center" vertical="center" wrapText="1"/>
    </xf>
    <xf numFmtId="0" fontId="17" fillId="0" borderId="0" applyAlignment="1" pivotButton="0" quotePrefix="0" xfId="1">
      <alignment vertical="center"/>
    </xf>
    <xf numFmtId="0" fontId="17" fillId="2" borderId="0" applyAlignment="1" pivotButton="0" quotePrefix="0" xfId="1">
      <alignment vertical="center"/>
    </xf>
    <xf numFmtId="0" fontId="21" fillId="5" borderId="2" applyAlignment="1" pivotButton="0" quotePrefix="0" xfId="1">
      <alignment horizontal="center" vertical="center" wrapText="1"/>
    </xf>
    <xf numFmtId="0" fontId="21" fillId="5" borderId="3" applyAlignment="1" pivotButton="0" quotePrefix="0" xfId="1">
      <alignment horizontal="center" vertical="center" wrapText="1"/>
    </xf>
    <xf numFmtId="0" fontId="21" fillId="5" borderId="3" applyAlignment="1" pivotButton="0" quotePrefix="0" xfId="1">
      <alignment horizontal="center" vertical="center" textRotation="180" wrapText="1"/>
    </xf>
    <xf numFmtId="0" fontId="21" fillId="5" borderId="3" applyAlignment="1" pivotButton="0" quotePrefix="0" xfId="1">
      <alignment horizontal="center" vertical="center" textRotation="90" wrapText="1"/>
    </xf>
    <xf numFmtId="0" fontId="21" fillId="5" borderId="4" applyAlignment="1" pivotButton="0" quotePrefix="0" xfId="1">
      <alignment horizontal="center" vertical="center" wrapText="1"/>
    </xf>
    <xf numFmtId="0" fontId="21" fillId="5" borderId="1" applyAlignment="1" pivotButton="0" quotePrefix="0" xfId="1">
      <alignment horizontal="center" vertical="center" wrapText="1"/>
    </xf>
    <xf numFmtId="0" fontId="5" fillId="0" borderId="1" pivotButton="0" quotePrefix="0" xfId="0"/>
    <xf numFmtId="0" fontId="6" fillId="6" borderId="1" pivotButton="0" quotePrefix="0" xfId="1"/>
    <xf numFmtId="0" fontId="10" fillId="4" borderId="0" pivotButton="0" quotePrefix="0" xfId="1"/>
    <xf numFmtId="0" fontId="26" fillId="0" borderId="1" pivotButton="0" quotePrefix="0" xfId="0"/>
    <xf numFmtId="0" fontId="18" fillId="0" borderId="0" applyAlignment="1" pivotButton="0" quotePrefix="0" xfId="1">
      <alignment horizontal="center" vertical="center"/>
    </xf>
    <xf numFmtId="0" fontId="19" fillId="0" borderId="0" applyAlignment="1" pivotButton="0" quotePrefix="0" xfId="1">
      <alignment horizontal="center" vertical="center"/>
    </xf>
    <xf numFmtId="0" fontId="25" fillId="0" borderId="0" applyAlignment="1" pivotButton="0" quotePrefix="0" xfId="1">
      <alignment horizontal="center" vertical="center"/>
    </xf>
    <xf numFmtId="0" fontId="4" fillId="0" borderId="0" pivotButton="0" quotePrefix="0" xfId="4"/>
    <xf numFmtId="0" fontId="4" fillId="0" borderId="0" pivotButton="0" quotePrefix="0" xfId="4"/>
    <xf numFmtId="0" fontId="29" fillId="0" borderId="0" applyAlignment="1" pivotButton="0" quotePrefix="0" xfId="4">
      <alignment vertical="center"/>
    </xf>
    <xf numFmtId="0" fontId="32" fillId="0" borderId="0" pivotButton="0" quotePrefix="0" xfId="1"/>
    <xf numFmtId="0" fontId="28" fillId="0" borderId="0" pivotButton="0" quotePrefix="0" xfId="1"/>
    <xf numFmtId="0" fontId="33" fillId="0" borderId="0" pivotButton="0" quotePrefix="0" xfId="1"/>
    <xf numFmtId="0" fontId="34" fillId="0" borderId="0" pivotButton="0" quotePrefix="0" xfId="1"/>
    <xf numFmtId="0" fontId="35" fillId="0" borderId="0" pivotButton="0" quotePrefix="0" xfId="4"/>
    <xf numFmtId="0" fontId="34" fillId="0" borderId="0" pivotButton="0" quotePrefix="0" xfId="1"/>
    <xf numFmtId="0" fontId="34" fillId="0" borderId="0" pivotButton="0" quotePrefix="0" xfId="4"/>
    <xf numFmtId="0" fontId="34" fillId="0" borderId="0" pivotButton="0" quotePrefix="0" xfId="4"/>
    <xf numFmtId="0" fontId="36" fillId="0" borderId="0" applyAlignment="1" pivotButton="0" quotePrefix="0" xfId="1">
      <alignment horizontal="right"/>
    </xf>
    <xf numFmtId="0" fontId="34" fillId="0" borderId="0" pivotButton="0" quotePrefix="0" xfId="1"/>
    <xf numFmtId="0" fontId="34" fillId="0" borderId="0" pivotButton="0" quotePrefix="0" xfId="4"/>
    <xf numFmtId="0" fontId="31" fillId="0" borderId="0" pivotButton="0" quotePrefix="0" xfId="1"/>
    <xf numFmtId="0" fontId="30" fillId="0" borderId="0" pivotButton="0" quotePrefix="0" xfId="1"/>
    <xf numFmtId="0" fontId="28" fillId="0" borderId="0" pivotButton="0" quotePrefix="0" xfId="1"/>
    <xf numFmtId="0" fontId="28" fillId="0" borderId="0" pivotButton="0" quotePrefix="0" xfId="4"/>
    <xf numFmtId="0" fontId="30" fillId="0" borderId="0" pivotButton="0" quotePrefix="0" xfId="1"/>
    <xf numFmtId="0" fontId="28" fillId="0" borderId="0" pivotButton="0" quotePrefix="0" xfId="0"/>
    <xf numFmtId="0" fontId="38" fillId="0" borderId="0" pivotButton="0" quotePrefix="0" xfId="1"/>
  </cellXfs>
  <cellStyles count="5">
    <cellStyle name="Normal" xfId="0" builtinId="0"/>
    <cellStyle name="Normal 2" xfId="1"/>
    <cellStyle name="Currency 2" xfId="2"/>
    <cellStyle name="Normal 3" xfId="3"/>
    <cellStyle name="Normal 4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465896</xdr:colOff>
      <xdr:row>0</xdr:row>
      <xdr:rowOff>0</xdr:rowOff>
    </xdr:from>
    <xdr:to>
      <xdr:col>12</xdr:col>
      <xdr:colOff>55079</xdr:colOff>
      <xdr:row>3</xdr:row>
      <xdr:rowOff>5763</xdr:rowOff>
    </xdr:to>
    <xdr:grpSp>
      <xdr:nvGrpSpPr>
        <xdr:cNvPr id="3" name="Group 2"/>
        <xdr:cNvGrpSpPr/>
      </xdr:nvGrpSpPr>
      <xdr:grpSpPr>
        <a:xfrm>
          <a:off x="1087092" y="0"/>
          <a:ext cx="5718313" cy="651806"/>
          <a:chOff x="10002807" y="3305175"/>
          <a:chExt cx="9771093" cy="832807"/>
        </a:xfrm>
      </xdr:grpSpPr>
      <xdr:sp macro="" textlink="">
        <xdr:nvSpPr>
          <xdr:cNvPr id="4" name="Rounded Rectangle 3"/>
          <xdr:cNvSpPr/>
        </xdr:nvSpPr>
        <xdr:spPr>
          <a:xfrm>
            <a:off x="10020300" y="3333750"/>
            <a:ext cx="9753600" cy="78105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5" name="Picture 4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487371" y="3422438"/>
            <a:ext cx="1055163" cy="715544"/>
          </a:xfrm>
          <a:prstGeom prst="ellipse">
            <a:avLst/>
          </a:prstGeom>
          <a:ln>
            <a:noFill/>
          </a:ln>
          <a:effectLst>
            <a:softEdge rad="112500"/>
          </a:effectLst>
        </xdr:spPr>
      </xdr:pic>
      <xdr:sp macro="" textlink="">
        <xdr:nvSpPr>
          <xdr:cNvPr id="6" name="Rectangle 5"/>
          <xdr:cNvSpPr/>
        </xdr:nvSpPr>
        <xdr:spPr>
          <a:xfrm>
            <a:off x="10002807" y="3305175"/>
            <a:ext cx="9744852" cy="736721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  <a:scene3d>
              <a:camera prst="orthographicFront"/>
              <a:lightRig rig="flat" dir="tl">
                <a:rot lat="0" lon="0" rev="6600000"/>
              </a:lightRig>
            </a:scene3d>
            <a:sp3d extrusionH="25400" contourW="8890">
              <a:bevelT w="38100" h="31750"/>
              <a:contourClr>
                <a:schemeClr val="accent2">
                  <a:shade val="75000"/>
                </a:schemeClr>
              </a:contourClr>
            </a:sp3d>
          </a:bodyPr>
          <a:lstStyle/>
          <a:p>
            <a:pPr algn="ctr"/>
            <a:r>
              <a:rPr lang="en-US" sz="3000" b="1" cap="none" spc="0">
                <a:ln w="11430"/>
                <a:gradFill>
                  <a:gsLst>
                    <a:gs pos="0">
                      <a:schemeClr val="accent2">
                        <a:tint val="70000"/>
                        <a:satMod val="245000"/>
                      </a:schemeClr>
                    </a:gs>
                    <a:gs pos="75000">
                      <a:schemeClr val="accent2">
                        <a:tint val="90000"/>
                        <a:shade val="60000"/>
                        <a:satMod val="240000"/>
                      </a:schemeClr>
                    </a:gs>
                    <a:gs pos="100000">
                      <a:schemeClr val="accent2">
                        <a:tint val="100000"/>
                        <a:shade val="50000"/>
                        <a:satMod val="240000"/>
                      </a:schemeClr>
                    </a:gs>
                  </a:gsLst>
                  <a:lin ang="5400000"/>
                </a:gradFill>
                <a:effectLst>
                  <a:outerShdw blurRad="50800" dist="39000" dir="5460000" algn="tl">
                    <a:srgbClr val="000000">
                      <a:alpha val="38000"/>
                    </a:srgbClr>
                  </a:outerShdw>
                </a:effectLst>
                <a:latin typeface="+mn-lt"/>
                <a:ea typeface="+mn-ea"/>
                <a:cs typeface="+mn-cs"/>
              </a:rPr>
              <a:t>  BÀI</a:t>
            </a:r>
            <a:r>
              <a:rPr lang="en-US" sz="3000" b="1" cap="none" spc="0" baseline="0">
                <a:ln w="11430"/>
                <a:gradFill>
                  <a:gsLst>
                    <a:gs pos="0">
                      <a:schemeClr val="accent2">
                        <a:tint val="70000"/>
                        <a:satMod val="245000"/>
                      </a:schemeClr>
                    </a:gs>
                    <a:gs pos="75000">
                      <a:schemeClr val="accent2">
                        <a:tint val="90000"/>
                        <a:shade val="60000"/>
                        <a:satMod val="240000"/>
                      </a:schemeClr>
                    </a:gs>
                    <a:gs pos="100000">
                      <a:schemeClr val="accent2">
                        <a:tint val="100000"/>
                        <a:shade val="50000"/>
                        <a:satMod val="240000"/>
                      </a:schemeClr>
                    </a:gs>
                  </a:gsLst>
                  <a:lin ang="5400000"/>
                </a:gradFill>
                <a:effectLst>
                  <a:outerShdw blurRad="50800" dist="39000" dir="5460000" algn="tl">
                    <a:srgbClr val="000000">
                      <a:alpha val="38000"/>
                    </a:srgbClr>
                  </a:outerShdw>
                </a:effectLst>
                <a:latin typeface="+mn-lt"/>
                <a:ea typeface="+mn-ea"/>
                <a:cs typeface="+mn-cs"/>
              </a:rPr>
              <a:t> TẬP VỀ NHÀ TUẦN 7</a:t>
            </a:r>
            <a:endParaRPr lang="en-US" sz="30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endParaRPr>
          </a:p>
        </xdr:txBody>
      </xdr:sp>
      <xdr:pic>
        <xdr:nvPicPr>
          <xdr:cNvPr id="7" name="Picture 6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58294" y="3459262"/>
            <a:ext cx="1123949" cy="62152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143511</xdr:colOff>
      <xdr:row>0</xdr:row>
      <xdr:rowOff>0</xdr:rowOff>
    </xdr:from>
    <xdr:to>
      <xdr:col>13</xdr:col>
      <xdr:colOff>343743</xdr:colOff>
      <xdr:row>2</xdr:row>
      <xdr:rowOff>184462</xdr:rowOff>
    </xdr:to>
    <xdr:grpSp>
      <xdr:nvGrpSpPr>
        <xdr:cNvPr id="2" name="Group 1"/>
        <xdr:cNvGrpSpPr/>
      </xdr:nvGrpSpPr>
      <xdr:grpSpPr>
        <a:xfrm>
          <a:off x="1970579" y="0"/>
          <a:ext cx="5655459" cy="634735"/>
          <a:chOff x="10002807" y="3305175"/>
          <a:chExt cx="9744851" cy="809625"/>
        </a:xfrm>
      </xdr:grpSpPr>
      <xdr:sp macro="" textlink="">
        <xdr:nvSpPr>
          <xdr:cNvPr id="3" name="Rounded Rectangle 2"/>
          <xdr:cNvSpPr/>
        </xdr:nvSpPr>
        <xdr:spPr>
          <a:xfrm>
            <a:off x="10020299" y="3333750"/>
            <a:ext cx="9036259" cy="78105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" name="Picture 3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654102" y="3378039"/>
            <a:ext cx="1055162" cy="715544"/>
          </a:xfrm>
          <a:prstGeom prst="ellipse">
            <a:avLst/>
          </a:prstGeom>
          <a:ln>
            <a:noFill/>
          </a:ln>
          <a:effectLst>
            <a:softEdge rad="112500"/>
          </a:effectLst>
        </xdr:spPr>
      </xdr:pic>
      <xdr:sp macro="" textlink="">
        <xdr:nvSpPr>
          <xdr:cNvPr id="5" name="Rectangle 4"/>
          <xdr:cNvSpPr/>
        </xdr:nvSpPr>
        <xdr:spPr>
          <a:xfrm>
            <a:off x="10002807" y="3305175"/>
            <a:ext cx="9744851" cy="681050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  <a:scene3d>
              <a:camera prst="orthographicFront"/>
              <a:lightRig rig="flat" dir="tl">
                <a:rot lat="0" lon="0" rev="6600000"/>
              </a:lightRig>
            </a:scene3d>
            <a:sp3d extrusionH="25400" contourW="8890">
              <a:bevelT w="38100" h="31750"/>
              <a:contourClr>
                <a:schemeClr val="accent2">
                  <a:shade val="75000"/>
                </a:schemeClr>
              </a:contourClr>
            </a:sp3d>
          </a:bodyPr>
          <a:lstStyle/>
          <a:p>
            <a:pPr algn="ctr"/>
            <a:r>
              <a:rPr lang="en-US" sz="3000" b="1" cap="none" spc="0">
                <a:ln w="11430"/>
                <a:gradFill>
                  <a:gsLst>
                    <a:gs pos="0">
                      <a:schemeClr val="accent2">
                        <a:tint val="70000"/>
                        <a:satMod val="245000"/>
                      </a:schemeClr>
                    </a:gs>
                    <a:gs pos="75000">
                      <a:schemeClr val="accent2">
                        <a:tint val="90000"/>
                        <a:shade val="60000"/>
                        <a:satMod val="240000"/>
                      </a:schemeClr>
                    </a:gs>
                    <a:gs pos="100000">
                      <a:schemeClr val="accent2">
                        <a:tint val="100000"/>
                        <a:shade val="50000"/>
                        <a:satMod val="240000"/>
                      </a:schemeClr>
                    </a:gs>
                  </a:gsLst>
                  <a:lin ang="5400000"/>
                </a:gradFill>
                <a:effectLst>
                  <a:outerShdw blurRad="50800" dist="39000" dir="5460000" algn="tl">
                    <a:srgbClr val="000000">
                      <a:alpha val="38000"/>
                    </a:srgbClr>
                  </a:outerShdw>
                </a:effectLst>
                <a:latin typeface="+mn-lt"/>
                <a:ea typeface="+mn-ea"/>
                <a:cs typeface="+mn-cs"/>
              </a:rPr>
              <a:t>Homework Week</a:t>
            </a:r>
            <a:r>
              <a:rPr lang="en-US" sz="3000" b="1" cap="none" spc="0" baseline="0">
                <a:ln w="11430"/>
                <a:gradFill>
                  <a:gsLst>
                    <a:gs pos="0">
                      <a:schemeClr val="accent2">
                        <a:tint val="70000"/>
                        <a:satMod val="245000"/>
                      </a:schemeClr>
                    </a:gs>
                    <a:gs pos="75000">
                      <a:schemeClr val="accent2">
                        <a:tint val="90000"/>
                        <a:shade val="60000"/>
                        <a:satMod val="240000"/>
                      </a:schemeClr>
                    </a:gs>
                    <a:gs pos="100000">
                      <a:schemeClr val="accent2">
                        <a:tint val="100000"/>
                        <a:shade val="50000"/>
                        <a:satMod val="240000"/>
                      </a:schemeClr>
                    </a:gs>
                  </a:gsLst>
                  <a:lin ang="5400000"/>
                </a:gradFill>
                <a:effectLst>
                  <a:outerShdw blurRad="50800" dist="39000" dir="5460000" algn="tl">
                    <a:srgbClr val="000000">
                      <a:alpha val="38000"/>
                    </a:srgbClr>
                  </a:outerShdw>
                </a:effectLst>
                <a:latin typeface="+mn-lt"/>
                <a:ea typeface="+mn-ea"/>
                <a:cs typeface="+mn-cs"/>
              </a:rPr>
              <a:t> 7</a:t>
            </a:r>
            <a:endParaRPr lang="en-US" sz="30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endParaRPr>
          </a:p>
        </xdr:txBody>
      </xdr:sp>
      <xdr:pic>
        <xdr:nvPicPr>
          <xdr:cNvPr id="6" name="Picture 5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58292" y="3459263"/>
            <a:ext cx="1442521" cy="62152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6"/>
  <sheetViews>
    <sheetView tabSelected="0" topLeftCell="A2" zoomScale="115" zoomScaleNormal="115" workbookViewId="0">
      <selection activeCell="A4" sqref="A4"/>
    </sheetView>
  </sheetViews>
  <sheetFormatPr baseColWidth="8" defaultRowHeight="15.75"/>
  <cols>
    <col width="4.7109375" customWidth="1" style="28" min="1" max="1"/>
    <col width="4.5703125" customWidth="1" style="28" min="2" max="2"/>
    <col width="9.140625" customWidth="1" style="28" min="3" max="16384"/>
  </cols>
  <sheetData>
    <row r="2" ht="19.5" customHeight="1">
      <c r="A2" s="62" t="inlineStr">
        <is>
          <t>Yêu cầu: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</row>
    <row r="3">
      <c r="A3" s="29" t="n"/>
      <c r="B3" s="26" t="n"/>
      <c r="C3" s="26" t="n"/>
      <c r="D3" s="26" t="n"/>
      <c r="E3" s="26" t="n"/>
      <c r="F3" s="26" t="n"/>
      <c r="G3" s="26" t="n"/>
      <c r="H3" s="26" t="n"/>
      <c r="I3" s="26" t="n"/>
    </row>
    <row r="4" ht="21.75" customHeight="1">
      <c r="A4" s="29" t="n"/>
      <c r="B4" s="26" t="inlineStr">
        <is>
          <t>Tạo thư mục &lt;HOTEN_MSSV&gt; để lưu các tập tin, nén thư mục này và nộp lên hệ thống Elearning</t>
        </is>
      </c>
      <c r="C4" s="26" t="n"/>
      <c r="D4" s="26" t="n"/>
      <c r="E4" s="26" t="n"/>
      <c r="F4" s="26" t="n"/>
      <c r="G4" s="26" t="n"/>
      <c r="H4" s="26" t="n"/>
      <c r="I4" s="26" t="n"/>
    </row>
    <row r="5">
      <c r="A5" s="26" t="n"/>
      <c r="B5" s="25" t="inlineStr">
        <is>
          <t>Chỉ thực hiện các yêu cầu trong trang tính này. Các trang tính khác dùng để hỗ trợ.</t>
        </is>
      </c>
      <c r="C5" s="26" t="n"/>
      <c r="D5" s="26" t="n"/>
      <c r="E5" s="26" t="n"/>
      <c r="F5" s="26" t="n"/>
      <c r="G5" s="26" t="n"/>
      <c r="H5" s="26" t="n"/>
      <c r="I5" s="26" t="n"/>
    </row>
    <row r="6" customFormat="1" s="78">
      <c r="A6" s="73" t="inlineStr">
        <is>
          <t>I.-</t>
        </is>
      </c>
      <c r="B6" s="77" t="inlineStr">
        <is>
          <t>Trong trang tính bai 1 thực hiện các yêu cầu sau:</t>
        </is>
      </c>
      <c r="C6" s="75" t="n"/>
      <c r="D6" s="75" t="n"/>
      <c r="E6" s="75" t="n"/>
      <c r="F6" s="75" t="n"/>
      <c r="G6" s="75" t="n"/>
      <c r="H6" s="75" t="n"/>
      <c r="I6" s="75" t="n"/>
    </row>
    <row r="7">
      <c r="A7" s="27" t="n"/>
      <c r="B7" s="27" t="inlineStr">
        <is>
          <t>1/</t>
        </is>
      </c>
      <c r="C7" s="26" t="inlineStr">
        <is>
          <t>Điền số thứ tự cho các cột STT (A4:A10 và K4:K10) (autofill).</t>
        </is>
      </c>
      <c r="D7" s="26" t="n"/>
      <c r="E7" s="26" t="n"/>
      <c r="F7" s="26" t="n"/>
      <c r="G7" s="26" t="n"/>
      <c r="H7" s="26" t="n"/>
      <c r="I7" s="26" t="n"/>
      <c r="J7" s="26" t="n"/>
    </row>
    <row r="8">
      <c r="A8" s="27" t="n"/>
      <c r="B8" s="27" t="inlineStr">
        <is>
          <t>2/</t>
        </is>
      </c>
      <c r="C8" s="26" t="inlineStr">
        <is>
          <t>Trị giá = Số lượng * Đơn giá.</t>
        </is>
      </c>
      <c r="D8" s="26" t="n"/>
      <c r="E8" s="26" t="n"/>
      <c r="F8" s="26" t="n"/>
      <c r="G8" s="26" t="n"/>
      <c r="H8" s="26" t="n"/>
      <c r="I8" s="26" t="n"/>
      <c r="J8" s="26" t="n"/>
    </row>
    <row r="9">
      <c r="A9" s="27" t="n"/>
      <c r="B9" s="27" t="inlineStr">
        <is>
          <t>3/</t>
        </is>
      </c>
      <c r="C9" s="26" t="inlineStr">
        <is>
          <t>Thuế = Trị giá * 5%.</t>
        </is>
      </c>
      <c r="D9" s="26" t="n"/>
      <c r="E9" s="26" t="n"/>
      <c r="F9" s="26" t="n"/>
      <c r="G9" s="26" t="n"/>
      <c r="H9" s="26" t="n"/>
      <c r="I9" s="26" t="n"/>
      <c r="J9" s="26" t="n"/>
    </row>
    <row r="10">
      <c r="A10" s="27" t="n"/>
      <c r="B10" s="27" t="inlineStr">
        <is>
          <t>4/</t>
        </is>
      </c>
      <c r="C10" s="26" t="inlineStr">
        <is>
          <t>Cước chuyên chở = Số lượng * 1500.</t>
        </is>
      </c>
      <c r="D10" s="26" t="n"/>
      <c r="E10" s="26" t="n"/>
      <c r="F10" s="26" t="n"/>
      <c r="G10" s="26" t="n"/>
      <c r="H10" s="26" t="n"/>
      <c r="I10" s="26" t="n"/>
      <c r="J10" s="26" t="n"/>
    </row>
    <row r="11">
      <c r="A11" s="27" t="n"/>
      <c r="B11" s="27" t="inlineStr">
        <is>
          <t>5/</t>
        </is>
      </c>
      <c r="C11" s="26" t="inlineStr">
        <is>
          <t>Cộng USD = Trị giá + Thuế + Cước chuyên chở.</t>
        </is>
      </c>
      <c r="D11" s="26" t="n"/>
      <c r="E11" s="26" t="n"/>
      <c r="F11" s="26" t="n"/>
      <c r="G11" s="26" t="n"/>
      <c r="H11" s="26" t="n"/>
      <c r="I11" s="26" t="n"/>
      <c r="J11" s="26" t="n"/>
    </row>
    <row r="12">
      <c r="A12" s="27" t="n"/>
      <c r="B12" s="27" t="inlineStr">
        <is>
          <t>6/</t>
        </is>
      </c>
      <c r="C12" s="26" t="inlineStr">
        <is>
          <t>Cộng VNĐ được qui đổi dựa vào cột Cộng USD và Tỉ giá..</t>
        </is>
      </c>
      <c r="D12" s="26" t="n"/>
      <c r="E12" s="26" t="n"/>
      <c r="F12" s="26" t="n"/>
      <c r="G12" s="26" t="n"/>
      <c r="H12" s="26" t="n"/>
      <c r="I12" s="26" t="n"/>
      <c r="J12" s="26" t="n"/>
    </row>
    <row r="13">
      <c r="A13" s="27" t="n"/>
      <c r="B13" s="27" t="inlineStr">
        <is>
          <t>7/</t>
        </is>
      </c>
      <c r="C13" s="26" t="inlineStr">
        <is>
          <t>Tổng lợi nhuận THÁNG 1 của từng mặt hàng được tính bằng lợi nhuận tháng 1 trong các năm 2014, 2015 và 2016 của mặt hàng tương ứng.</t>
        </is>
      </c>
      <c r="D13" s="26" t="n"/>
      <c r="E13" s="26" t="n"/>
      <c r="F13" s="26" t="n"/>
      <c r="G13" s="26" t="n"/>
      <c r="H13" s="26" t="n"/>
      <c r="I13" s="26" t="n"/>
      <c r="J13" s="26" t="n"/>
    </row>
    <row r="14">
      <c r="A14" s="27" t="n"/>
      <c r="B14" s="27" t="inlineStr">
        <is>
          <t>8/</t>
        </is>
      </c>
      <c r="C14" s="26" t="inlineStr">
        <is>
          <t>Sao chép công thức sao cho có thể xác định được tổng lợi nhuận của từng mặt hàng trong từng tháng của cả 3 năm.</t>
        </is>
      </c>
      <c r="D14" s="26" t="n"/>
      <c r="E14" s="26" t="n"/>
      <c r="F14" s="26" t="n"/>
      <c r="G14" s="26" t="n"/>
      <c r="H14" s="26" t="n"/>
      <c r="I14" s="26" t="n"/>
      <c r="J14" s="26" t="n"/>
    </row>
    <row r="15">
      <c r="A15" s="27" t="n"/>
      <c r="B15" s="27" t="inlineStr">
        <is>
          <t>9/</t>
        </is>
      </c>
      <c r="C15" s="26" t="inlineStr">
        <is>
          <t>Tính tổng lợi nhuận cho từng tháng của tất cả các mặt hàng.</t>
        </is>
      </c>
      <c r="D15" s="26" t="n"/>
      <c r="E15" s="26" t="n"/>
      <c r="F15" s="26" t="n"/>
      <c r="G15" s="26" t="n"/>
      <c r="H15" s="26" t="n"/>
      <c r="I15" s="26" t="n"/>
      <c r="J15" s="26" t="n"/>
    </row>
    <row r="16">
      <c r="A16" s="27" t="n"/>
      <c r="B16" s="27" t="inlineStr">
        <is>
          <t>10/</t>
        </is>
      </c>
      <c r="C16" s="26" t="inlineStr">
        <is>
          <t>Xác định giá trị lỗ lớn nhất của tất cả các mặt hàng trong tháng 1.</t>
        </is>
      </c>
      <c r="D16" s="26" t="n"/>
      <c r="E16" s="26" t="n"/>
      <c r="F16" s="26" t="n"/>
      <c r="G16" s="26" t="n"/>
      <c r="H16" s="26" t="n"/>
      <c r="I16" s="26" t="n"/>
      <c r="J16" s="26" t="n"/>
    </row>
    <row r="17">
      <c r="A17" s="27" t="n"/>
      <c r="B17" s="27" t="inlineStr">
        <is>
          <t>11/</t>
        </is>
      </c>
      <c r="C17" s="26" t="inlineStr">
        <is>
          <t>Xác định giá trị lãi lớn nhất của tất cả các mặt hàng trong tháng 3.</t>
        </is>
      </c>
      <c r="D17" s="26" t="n"/>
      <c r="E17" s="26" t="n"/>
      <c r="F17" s="26" t="n"/>
      <c r="G17" s="26" t="n"/>
      <c r="H17" s="26" t="n"/>
      <c r="I17" s="26" t="n"/>
      <c r="J17" s="26" t="n"/>
    </row>
    <row r="18">
      <c r="A18" s="27" t="n"/>
      <c r="B18" s="27" t="inlineStr">
        <is>
          <t>12/</t>
        </is>
      </c>
      <c r="C18" s="26" t="inlineStr">
        <is>
          <t>Xác định giá trị lợi nhuận trung bình của tất cả các mặt hàng trong tháng 5.</t>
        </is>
      </c>
      <c r="D18" s="26" t="n"/>
      <c r="E18" s="26" t="n"/>
      <c r="F18" s="26" t="n"/>
      <c r="G18" s="26" t="n"/>
      <c r="H18" s="26" t="n"/>
      <c r="I18" s="26" t="n"/>
      <c r="J18" s="26" t="n"/>
    </row>
    <row r="19">
      <c r="A19" s="27" t="n"/>
      <c r="B19" s="27" t="inlineStr">
        <is>
          <t>13/</t>
        </is>
      </c>
      <c r="C19" s="26" t="inlineStr">
        <is>
          <t>Lưu tập tin.</t>
        </is>
      </c>
      <c r="D19" s="26" t="n"/>
      <c r="E19" s="26" t="n"/>
      <c r="F19" s="26" t="n"/>
      <c r="G19" s="26" t="n"/>
      <c r="H19" s="26" t="n"/>
      <c r="I19" s="26" t="n"/>
      <c r="J19" s="26" t="n"/>
    </row>
    <row r="20" customFormat="1" s="78">
      <c r="A20" s="73" t="inlineStr">
        <is>
          <t>II.-</t>
        </is>
      </c>
      <c r="B20" s="77" t="inlineStr">
        <is>
          <t>Trong trang tính 2016 thực hiện các yêu cầu sau:</t>
        </is>
      </c>
      <c r="C20" s="75" t="n"/>
      <c r="D20" s="75" t="n"/>
      <c r="E20" s="75" t="n"/>
      <c r="F20" s="75" t="n"/>
      <c r="G20" s="75" t="n"/>
      <c r="H20" s="75" t="n"/>
      <c r="I20" s="75" t="n"/>
    </row>
    <row r="21">
      <c r="A21" s="27" t="n"/>
      <c r="B21" s="27" t="inlineStr">
        <is>
          <t>1/</t>
        </is>
      </c>
      <c r="C21" s="26" t="inlineStr">
        <is>
          <t>Đặt tên cho khối ô C3:H9 là DATA.</t>
        </is>
      </c>
      <c r="D21" s="26" t="n"/>
      <c r="E21" s="26" t="n"/>
      <c r="F21" s="26" t="n"/>
      <c r="G21" s="26" t="n"/>
      <c r="H21" s="26" t="n"/>
      <c r="I21" s="26" t="n"/>
      <c r="J21" s="26" t="n"/>
    </row>
    <row r="22">
      <c r="A22" s="27" t="n"/>
      <c r="B22" s="27" t="inlineStr">
        <is>
          <t>2/</t>
        </is>
      </c>
      <c r="C22" s="26" t="inlineStr">
        <is>
          <t>Sử dụng tên khối DATA, xác định tổng lợi nhuận của tất cả các mặt hàng trong tất cả các tháng.</t>
        </is>
      </c>
      <c r="D22" s="26" t="n"/>
      <c r="E22" s="26" t="n"/>
      <c r="F22" s="26" t="n"/>
      <c r="G22" s="26" t="n"/>
      <c r="H22" s="26" t="n"/>
      <c r="I22" s="26" t="n"/>
      <c r="J22" s="26" t="n"/>
    </row>
    <row r="23">
      <c r="A23" s="27" t="n"/>
      <c r="B23" s="27" t="inlineStr">
        <is>
          <t>3/</t>
        </is>
      </c>
      <c r="C23" s="26" t="inlineStr">
        <is>
          <t>Sử dụng tên khối DATA, xác định giá trị lợi nhuận lớn nhất của tất cả các mặt hàng trong tất cả các tháng</t>
        </is>
      </c>
      <c r="D23" s="26" t="n"/>
      <c r="E23" s="26" t="n"/>
      <c r="F23" s="26" t="n"/>
      <c r="G23" s="26" t="n"/>
      <c r="H23" s="26" t="n"/>
      <c r="I23" s="26" t="n"/>
      <c r="J23" s="26" t="n"/>
    </row>
    <row r="24">
      <c r="A24" s="27" t="n"/>
      <c r="B24" s="27" t="inlineStr">
        <is>
          <t>4/</t>
        </is>
      </c>
      <c r="C24" s="26" t="inlineStr">
        <is>
          <t>Sử dụng tên khối DATA, xác định giá trị lợi nhuận trung bình của tất cả các mặt hàng trong tất cả các tháng</t>
        </is>
      </c>
      <c r="D24" s="26" t="n"/>
      <c r="E24" s="26" t="n"/>
      <c r="F24" s="26" t="n"/>
      <c r="G24" s="26" t="n"/>
      <c r="H24" s="26" t="n"/>
      <c r="I24" s="26" t="n"/>
      <c r="J24" s="26" t="n"/>
    </row>
    <row r="25">
      <c r="B25" s="27" t="inlineStr">
        <is>
          <t>5/</t>
        </is>
      </c>
      <c r="C25" s="26" t="inlineStr">
        <is>
          <t>Hiển thị các công thức thay vì giá trị của công thức.</t>
        </is>
      </c>
      <c r="I25" s="31" t="n"/>
    </row>
    <row r="26">
      <c r="B26" s="27" t="inlineStr">
        <is>
          <t>6/</t>
        </is>
      </c>
      <c r="C26" s="26" t="inlineStr">
        <is>
          <t>Lưu tập tin.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1"/>
  <sheetViews>
    <sheetView tabSelected="1" zoomScale="110" zoomScaleNormal="110" workbookViewId="0">
      <selection activeCell="L22" sqref="L22"/>
    </sheetView>
  </sheetViews>
  <sheetFormatPr baseColWidth="8" defaultRowHeight="15.75"/>
  <cols>
    <col width="4.7109375" customWidth="1" style="60" min="1" max="1"/>
    <col width="4.5703125" customWidth="1" style="60" min="2" max="2"/>
    <col width="9.140625" customWidth="1" style="60" min="3" max="16384"/>
  </cols>
  <sheetData>
    <row r="2" ht="19.5" customHeight="1">
      <c r="A2" s="62" t="inlineStr">
        <is>
          <t>Requirements: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</row>
    <row r="3">
      <c r="A3" s="29" t="n"/>
      <c r="B3" s="26" t="n"/>
      <c r="C3" s="26" t="n"/>
      <c r="D3" s="26" t="n"/>
      <c r="E3" s="26" t="n"/>
      <c r="F3" s="26" t="n"/>
      <c r="G3" s="26" t="n"/>
      <c r="H3" s="26" t="n"/>
      <c r="I3" s="26" t="n"/>
    </row>
    <row r="4" ht="21.75" customFormat="1" customHeight="1" s="72">
      <c r="A4" s="64" t="n"/>
      <c r="B4" s="71" t="inlineStr">
        <is>
          <t xml:space="preserve">Create a folder named &lt;HOTEN_MSSV_NHOM&gt; to save the files after finishing the tasks, </t>
        </is>
      </c>
      <c r="C4" s="66" t="n"/>
      <c r="D4" s="71" t="n"/>
      <c r="E4" s="71" t="n"/>
      <c r="F4" s="71" t="n"/>
      <c r="G4" s="71" t="n"/>
      <c r="H4" s="71" t="n"/>
      <c r="I4" s="71" t="n"/>
    </row>
    <row r="5" customFormat="1" s="72">
      <c r="B5" s="72" t="inlineStr">
        <is>
          <t xml:space="preserve">                 sau khi làm xong BT, nén thư mục lại và chuyển lên hệ thống elearning.</t>
        </is>
      </c>
      <c r="C5" s="71" t="inlineStr">
        <is>
          <t xml:space="preserve">archive the folder to a rar file and upload the archived file to the Elearning site. </t>
        </is>
      </c>
    </row>
    <row r="6">
      <c r="A6" s="26" t="n"/>
      <c r="B6" s="25" t="inlineStr">
        <is>
          <t>Only perform the tasks on this sheet. Other sheets are for support.</t>
        </is>
      </c>
      <c r="C6" s="26" t="n"/>
      <c r="D6" s="26" t="n"/>
      <c r="E6" s="26" t="n"/>
      <c r="F6" s="26" t="n"/>
      <c r="G6" s="26" t="n"/>
      <c r="H6" s="26" t="n"/>
      <c r="I6" s="26" t="n"/>
    </row>
    <row r="7" ht="15.75" customFormat="1" customHeight="1" s="60">
      <c r="B7" s="26" t="n"/>
      <c r="C7" s="30" t="n"/>
      <c r="K7" s="61" t="n"/>
      <c r="L7" s="61" t="n"/>
      <c r="M7" s="61" t="n"/>
      <c r="N7" s="61" t="n"/>
      <c r="O7" s="61" t="n"/>
      <c r="P7" s="61" t="n"/>
    </row>
    <row r="8" customFormat="1" s="76">
      <c r="A8" s="73" t="inlineStr">
        <is>
          <t>I.-</t>
        </is>
      </c>
      <c r="B8" s="77" t="inlineStr">
        <is>
          <t>In the bai 1 worksheet, perform the following tasks:</t>
        </is>
      </c>
      <c r="C8" s="75" t="n"/>
      <c r="D8" s="75" t="n"/>
      <c r="E8" s="75" t="n"/>
      <c r="F8" s="75" t="n"/>
      <c r="G8" s="75" t="n"/>
      <c r="H8" s="75" t="n"/>
      <c r="I8" s="79" t="n"/>
    </row>
    <row r="9">
      <c r="A9" s="70" t="n"/>
      <c r="B9" s="70" t="inlineStr">
        <is>
          <t>1/</t>
        </is>
      </c>
      <c r="C9" s="71" t="inlineStr">
        <is>
          <t>Fill series to the STT column (A4:A10 and K4:K10).</t>
        </is>
      </c>
      <c r="D9" s="71" t="n"/>
      <c r="E9" s="71" t="n"/>
      <c r="F9" s="71" t="n"/>
      <c r="G9" s="71" t="n"/>
      <c r="H9" s="71" t="n"/>
      <c r="I9" s="71" t="n"/>
      <c r="J9" s="26" t="n"/>
    </row>
    <row r="10">
      <c r="A10" s="70" t="n"/>
      <c r="B10" s="70" t="inlineStr">
        <is>
          <t>2/</t>
        </is>
      </c>
      <c r="C10" s="71" t="inlineStr">
        <is>
          <t>Trị giá = Số lượng * Đơn giá.</t>
        </is>
      </c>
      <c r="D10" s="71" t="n"/>
      <c r="E10" s="71" t="n"/>
      <c r="F10" s="71" t="n"/>
      <c r="G10" s="71" t="n"/>
      <c r="H10" s="71" t="n"/>
      <c r="I10" s="71" t="n"/>
      <c r="J10" s="26" t="n"/>
    </row>
    <row r="11">
      <c r="A11" s="70" t="n"/>
      <c r="B11" s="70" t="inlineStr">
        <is>
          <t>3/</t>
        </is>
      </c>
      <c r="C11" s="71" t="inlineStr">
        <is>
          <t>Thuế = Trị giá * 5%.</t>
        </is>
      </c>
      <c r="D11" s="71" t="n"/>
      <c r="E11" s="71" t="n"/>
      <c r="F11" s="71" t="n"/>
      <c r="G11" s="71" t="n"/>
      <c r="H11" s="71" t="n"/>
      <c r="I11" s="71" t="n"/>
      <c r="J11" s="26" t="n"/>
    </row>
    <row r="12">
      <c r="A12" s="70" t="n"/>
      <c r="B12" s="70" t="inlineStr">
        <is>
          <t>4/</t>
        </is>
      </c>
      <c r="C12" s="71" t="inlineStr">
        <is>
          <t>Cước chuyên chở = Số lượng * 1500.</t>
        </is>
      </c>
      <c r="D12" s="71" t="n"/>
      <c r="E12" s="71" t="n"/>
      <c r="F12" s="71" t="n"/>
      <c r="G12" s="71" t="n"/>
      <c r="H12" s="71" t="n"/>
      <c r="I12" s="71" t="n"/>
      <c r="J12" s="26" t="n"/>
    </row>
    <row r="13">
      <c r="A13" s="70" t="n"/>
      <c r="B13" s="70" t="inlineStr">
        <is>
          <t>5/</t>
        </is>
      </c>
      <c r="C13" s="71" t="inlineStr">
        <is>
          <t>Cộng USD = Trị giá + Thuế + Cước chuyên chở.</t>
        </is>
      </c>
      <c r="D13" s="71" t="n"/>
      <c r="E13" s="71" t="n"/>
      <c r="F13" s="71" t="n"/>
      <c r="G13" s="71" t="n"/>
      <c r="H13" s="71" t="n"/>
      <c r="I13" s="71" t="n"/>
      <c r="J13" s="26" t="n"/>
    </row>
    <row r="14">
      <c r="A14" s="70" t="n"/>
      <c r="B14" s="70" t="inlineStr">
        <is>
          <t>6/</t>
        </is>
      </c>
      <c r="C14" s="71" t="inlineStr">
        <is>
          <t>Cộng VNĐ are converted based on columns Cộng USD and Tỉ giá.</t>
        </is>
      </c>
      <c r="D14" s="71" t="n"/>
      <c r="E14" s="71" t="n"/>
      <c r="F14" s="71" t="n"/>
      <c r="G14" s="71" t="n"/>
      <c r="H14" s="71" t="n"/>
      <c r="I14" s="71" t="n"/>
      <c r="J14" s="26" t="n"/>
    </row>
    <row r="15">
      <c r="A15" s="70" t="n"/>
      <c r="B15" s="70" t="n"/>
      <c r="C15" s="71" t="inlineStr">
        <is>
          <t>Cộng VNĐ = Cộng USD * Tỉ giá.</t>
        </is>
      </c>
      <c r="D15" s="71" t="n"/>
      <c r="E15" s="71" t="n"/>
      <c r="F15" s="71" t="n"/>
      <c r="G15" s="71" t="n"/>
      <c r="H15" s="71" t="n"/>
      <c r="I15" s="71" t="n"/>
      <c r="J15" s="26" t="n"/>
    </row>
    <row r="16">
      <c r="A16" s="70" t="n"/>
      <c r="B16" s="70" t="inlineStr">
        <is>
          <t>7/</t>
        </is>
      </c>
      <c r="C16" s="71" t="inlineStr">
        <is>
          <t>The January profit of each item is calculated by adding its January profit in 2014, 2015 and 2016 together.</t>
        </is>
      </c>
      <c r="D16" s="71" t="n"/>
      <c r="E16" s="71" t="n"/>
      <c r="F16" s="71" t="n"/>
      <c r="G16" s="71" t="n"/>
      <c r="H16" s="71" t="n"/>
      <c r="I16" s="71" t="n"/>
      <c r="J16" s="26" t="n"/>
    </row>
    <row r="17">
      <c r="A17" s="70" t="n"/>
      <c r="B17" s="70" t="inlineStr">
        <is>
          <t>8/</t>
        </is>
      </c>
      <c r="C17" s="71" t="inlineStr">
        <is>
          <t>Copy the formula so that it can show the total profit of each item in each month of the whole 3 years.</t>
        </is>
      </c>
      <c r="D17" s="71" t="n"/>
      <c r="E17" s="71" t="n"/>
      <c r="F17" s="71" t="n"/>
      <c r="G17" s="71" t="n"/>
      <c r="H17" s="71" t="n"/>
      <c r="I17" s="71" t="n"/>
      <c r="J17" s="26" t="n"/>
    </row>
    <row r="18">
      <c r="A18" s="70" t="n"/>
      <c r="B18" s="70" t="inlineStr">
        <is>
          <t>9/</t>
        </is>
      </c>
      <c r="C18" s="71" t="inlineStr">
        <is>
          <t xml:space="preserve">Calculate the total profit of all items in all months. </t>
        </is>
      </c>
      <c r="D18" s="71" t="n"/>
      <c r="E18" s="71" t="n"/>
      <c r="F18" s="71" t="n"/>
      <c r="G18" s="71" t="n"/>
      <c r="H18" s="71" t="n"/>
      <c r="I18" s="71" t="n"/>
      <c r="J18" s="26" t="n"/>
    </row>
    <row r="19">
      <c r="A19" s="70" t="n"/>
      <c r="B19" s="70" t="inlineStr">
        <is>
          <t>10/</t>
        </is>
      </c>
      <c r="C19" s="71" t="inlineStr">
        <is>
          <t>Calculate the biggest lost value of Tháng 1.</t>
        </is>
      </c>
      <c r="D19" s="71" t="n"/>
      <c r="E19" s="71" t="n"/>
      <c r="F19" s="71" t="n"/>
      <c r="G19" s="71" t="n"/>
      <c r="H19" s="71" t="n"/>
      <c r="I19" s="71" t="n"/>
      <c r="J19" s="26" t="n"/>
    </row>
    <row r="20">
      <c r="A20" s="70" t="n"/>
      <c r="B20" s="70" t="inlineStr">
        <is>
          <t>11/</t>
        </is>
      </c>
      <c r="C20" s="71" t="inlineStr">
        <is>
          <t>Calculate the biggest profit value of Tháng 3.</t>
        </is>
      </c>
      <c r="D20" s="71" t="n"/>
      <c r="E20" s="71" t="n"/>
      <c r="F20" s="71" t="n"/>
      <c r="G20" s="71" t="n"/>
      <c r="H20" s="71" t="n"/>
      <c r="I20" s="71" t="n"/>
      <c r="J20" s="26" t="n"/>
    </row>
    <row r="21">
      <c r="A21" s="70" t="n"/>
      <c r="B21" s="70" t="inlineStr">
        <is>
          <t>12/</t>
        </is>
      </c>
      <c r="C21" s="71" t="inlineStr">
        <is>
          <t>Calculate the average profit value of Tháng 5.</t>
        </is>
      </c>
      <c r="D21" s="71" t="n"/>
      <c r="E21" s="71" t="n"/>
      <c r="F21" s="71" t="n"/>
      <c r="G21" s="71" t="n"/>
      <c r="H21" s="71" t="n"/>
      <c r="I21" s="71" t="n"/>
      <c r="J21" s="26" t="n"/>
    </row>
    <row r="22">
      <c r="A22" s="70" t="n"/>
      <c r="B22" s="70" t="inlineStr">
        <is>
          <t>13/</t>
        </is>
      </c>
      <c r="C22" s="71" t="inlineStr">
        <is>
          <t>Save the file.</t>
        </is>
      </c>
      <c r="D22" s="72" t="n"/>
      <c r="E22" s="71" t="n"/>
      <c r="F22" s="71" t="n"/>
      <c r="G22" s="71" t="n"/>
      <c r="H22" s="71" t="n"/>
      <c r="I22" s="71" t="n"/>
      <c r="J22" s="26" t="n"/>
    </row>
    <row r="23" customFormat="1" s="76">
      <c r="A23" s="73" t="inlineStr">
        <is>
          <t>II.-</t>
        </is>
      </c>
      <c r="B23" s="77" t="inlineStr">
        <is>
          <t>In the 2016 worksheet, perform the following tasks:</t>
        </is>
      </c>
      <c r="C23" s="75" t="n"/>
      <c r="D23" s="75" t="n"/>
      <c r="E23" s="75" t="n"/>
      <c r="F23" s="75" t="n"/>
      <c r="G23" s="75" t="n"/>
      <c r="H23" s="75" t="n"/>
      <c r="I23" s="75" t="n"/>
    </row>
    <row r="24">
      <c r="A24" s="70" t="n"/>
      <c r="B24" s="70" t="inlineStr">
        <is>
          <t>1/</t>
        </is>
      </c>
      <c r="C24" s="72" t="inlineStr">
        <is>
          <t>Name the C3:H9 range DATA.</t>
        </is>
      </c>
      <c r="D24" s="71" t="n"/>
      <c r="E24" s="71" t="n"/>
      <c r="F24" s="71" t="n"/>
      <c r="G24" s="71" t="n"/>
      <c r="H24" s="71" t="n"/>
      <c r="I24" s="71" t="n"/>
      <c r="J24" s="26" t="n"/>
    </row>
    <row r="25">
      <c r="A25" s="70" t="n"/>
      <c r="B25" s="70" t="inlineStr">
        <is>
          <t>2/</t>
        </is>
      </c>
      <c r="C25" s="72" t="inlineStr">
        <is>
          <t>Use the DATA range name, calculate the total profit of all items in all months.</t>
        </is>
      </c>
      <c r="D25" s="71" t="n"/>
      <c r="E25" s="71" t="n"/>
      <c r="F25" s="71" t="n"/>
      <c r="G25" s="71" t="n"/>
      <c r="H25" s="71" t="n"/>
      <c r="I25" s="71" t="n"/>
      <c r="J25" s="26" t="n"/>
    </row>
    <row r="26">
      <c r="A26" s="70" t="n"/>
      <c r="B26" s="70" t="inlineStr">
        <is>
          <t>3/</t>
        </is>
      </c>
      <c r="C26" s="72" t="inlineStr">
        <is>
          <t>Use the DATA range name, calculate the max profit of all items in all months.</t>
        </is>
      </c>
      <c r="D26" s="71" t="n"/>
      <c r="E26" s="71" t="n"/>
      <c r="F26" s="71" t="n"/>
      <c r="G26" s="71" t="n"/>
      <c r="H26" s="71" t="n"/>
      <c r="I26" s="71" t="n"/>
      <c r="J26" s="26" t="n"/>
    </row>
    <row r="27">
      <c r="A27" s="70" t="n"/>
      <c r="B27" s="70" t="inlineStr">
        <is>
          <t>4/</t>
        </is>
      </c>
      <c r="C27" s="72" t="inlineStr">
        <is>
          <t>Use the DATA range name, calculate the average profit of all items in all months.</t>
        </is>
      </c>
      <c r="D27" s="71" t="n"/>
      <c r="E27" s="71" t="n"/>
      <c r="F27" s="71" t="n"/>
      <c r="G27" s="71" t="n"/>
      <c r="H27" s="71" t="n"/>
      <c r="I27" s="71" t="n"/>
      <c r="J27" s="26" t="n"/>
    </row>
    <row r="28">
      <c r="A28" s="72" t="n"/>
      <c r="B28" s="70" t="inlineStr">
        <is>
          <t>5/</t>
        </is>
      </c>
      <c r="C28" s="72" t="inlineStr">
        <is>
          <t>Display formulas instead of the values of formulas.</t>
        </is>
      </c>
      <c r="D28" s="72" t="n"/>
      <c r="E28" s="72" t="n"/>
      <c r="F28" s="72" t="n"/>
      <c r="G28" s="72" t="n"/>
      <c r="H28" s="72" t="n"/>
      <c r="I28" s="72" t="n"/>
    </row>
    <row r="29">
      <c r="A29" s="72" t="n"/>
      <c r="B29" s="70" t="inlineStr">
        <is>
          <t>6/</t>
        </is>
      </c>
      <c r="C29" s="71" t="inlineStr">
        <is>
          <t>Save the file.</t>
        </is>
      </c>
      <c r="D29" s="72" t="n"/>
      <c r="E29" s="72" t="n"/>
      <c r="F29" s="72" t="n"/>
      <c r="G29" s="72" t="n"/>
      <c r="H29" s="72" t="n"/>
      <c r="I29" s="72" t="n"/>
    </row>
    <row r="30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</row>
    <row r="31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tabSelected="0" topLeftCell="C1" zoomScale="85" zoomScaleNormal="85" workbookViewId="0">
      <selection activeCell="I12" sqref="I12"/>
    </sheetView>
  </sheetViews>
  <sheetFormatPr baseColWidth="8" defaultRowHeight="15.75"/>
  <cols>
    <col width="6" customWidth="1" style="26" min="1" max="1"/>
    <col width="7.5703125" customWidth="1" style="26" min="2" max="2"/>
    <col width="10.28515625" customWidth="1" style="26" min="3" max="3"/>
    <col width="11.140625" customWidth="1" style="26" min="4" max="4"/>
    <col width="11.5703125" bestFit="1" customWidth="1" style="26" min="5" max="5"/>
    <col width="8.85546875" customWidth="1" style="26" min="6" max="6"/>
    <col width="12.140625" customWidth="1" style="26" min="7" max="7"/>
    <col width="16.140625" customWidth="1" style="26" min="8" max="8"/>
    <col width="25.85546875" customWidth="1" style="26" min="9" max="9"/>
    <col width="9.140625" customWidth="1" style="26" min="10" max="10"/>
    <col width="6.28515625" customWidth="1" style="26" min="11" max="11"/>
    <col width="7.85546875" customWidth="1" style="26" min="12" max="12"/>
    <col width="12.7109375" customWidth="1" style="26" min="13" max="18"/>
    <col width="9.140625" customWidth="1" style="26" min="19" max="254"/>
    <col width="6" customWidth="1" style="26" min="255" max="255"/>
    <col width="9.140625" customWidth="1" style="26" min="256" max="256"/>
    <col width="10.28515625" customWidth="1" style="26" min="257" max="257"/>
    <col width="11.140625" customWidth="1" style="26" min="258" max="258"/>
    <col width="18.140625" customWidth="1" style="26" min="259" max="262"/>
    <col width="29.85546875" customWidth="1" style="26" min="263" max="263"/>
    <col width="9.140625" customWidth="1" style="26" min="264" max="510"/>
    <col width="6" customWidth="1" style="26" min="511" max="511"/>
    <col width="9.140625" customWidth="1" style="26" min="512" max="512"/>
    <col width="10.28515625" customWidth="1" style="26" min="513" max="513"/>
    <col width="11.140625" customWidth="1" style="26" min="514" max="514"/>
    <col width="18.140625" customWidth="1" style="26" min="515" max="518"/>
    <col width="29.85546875" customWidth="1" style="26" min="519" max="519"/>
    <col width="9.140625" customWidth="1" style="26" min="520" max="766"/>
    <col width="6" customWidth="1" style="26" min="767" max="767"/>
    <col width="9.140625" customWidth="1" style="26" min="768" max="768"/>
    <col width="10.28515625" customWidth="1" style="26" min="769" max="769"/>
    <col width="11.140625" customWidth="1" style="26" min="770" max="770"/>
    <col width="18.140625" customWidth="1" style="26" min="771" max="774"/>
    <col width="29.85546875" customWidth="1" style="26" min="775" max="775"/>
    <col width="9.140625" customWidth="1" style="26" min="776" max="1022"/>
    <col width="6" customWidth="1" style="26" min="1023" max="1023"/>
    <col width="9.140625" customWidth="1" style="26" min="1024" max="1024"/>
    <col width="10.28515625" customWidth="1" style="26" min="1025" max="1025"/>
    <col width="11.140625" customWidth="1" style="26" min="1026" max="1026"/>
    <col width="18.140625" customWidth="1" style="26" min="1027" max="1030"/>
    <col width="29.85546875" customWidth="1" style="26" min="1031" max="1031"/>
    <col width="9.140625" customWidth="1" style="26" min="1032" max="1278"/>
    <col width="6" customWidth="1" style="26" min="1279" max="1279"/>
    <col width="9.140625" customWidth="1" style="26" min="1280" max="1280"/>
    <col width="10.28515625" customWidth="1" style="26" min="1281" max="1281"/>
    <col width="11.140625" customWidth="1" style="26" min="1282" max="1282"/>
    <col width="18.140625" customWidth="1" style="26" min="1283" max="1286"/>
    <col width="29.85546875" customWidth="1" style="26" min="1287" max="1287"/>
    <col width="9.140625" customWidth="1" style="26" min="1288" max="1534"/>
    <col width="6" customWidth="1" style="26" min="1535" max="1535"/>
    <col width="9.140625" customWidth="1" style="26" min="1536" max="1536"/>
    <col width="10.28515625" customWidth="1" style="26" min="1537" max="1537"/>
    <col width="11.140625" customWidth="1" style="26" min="1538" max="1538"/>
    <col width="18.140625" customWidth="1" style="26" min="1539" max="1542"/>
    <col width="29.85546875" customWidth="1" style="26" min="1543" max="1543"/>
    <col width="9.140625" customWidth="1" style="26" min="1544" max="1790"/>
    <col width="6" customWidth="1" style="26" min="1791" max="1791"/>
    <col width="9.140625" customWidth="1" style="26" min="1792" max="1792"/>
    <col width="10.28515625" customWidth="1" style="26" min="1793" max="1793"/>
    <col width="11.140625" customWidth="1" style="26" min="1794" max="1794"/>
    <col width="18.140625" customWidth="1" style="26" min="1795" max="1798"/>
    <col width="29.85546875" customWidth="1" style="26" min="1799" max="1799"/>
    <col width="9.140625" customWidth="1" style="26" min="1800" max="2046"/>
    <col width="6" customWidth="1" style="26" min="2047" max="2047"/>
    <col width="9.140625" customWidth="1" style="26" min="2048" max="2048"/>
    <col width="10.28515625" customWidth="1" style="26" min="2049" max="2049"/>
    <col width="11.140625" customWidth="1" style="26" min="2050" max="2050"/>
    <col width="18.140625" customWidth="1" style="26" min="2051" max="2054"/>
    <col width="29.85546875" customWidth="1" style="26" min="2055" max="2055"/>
    <col width="9.140625" customWidth="1" style="26" min="2056" max="2302"/>
    <col width="6" customWidth="1" style="26" min="2303" max="2303"/>
    <col width="9.140625" customWidth="1" style="26" min="2304" max="2304"/>
    <col width="10.28515625" customWidth="1" style="26" min="2305" max="2305"/>
    <col width="11.140625" customWidth="1" style="26" min="2306" max="2306"/>
    <col width="18.140625" customWidth="1" style="26" min="2307" max="2310"/>
    <col width="29.85546875" customWidth="1" style="26" min="2311" max="2311"/>
    <col width="9.140625" customWidth="1" style="26" min="2312" max="2558"/>
    <col width="6" customWidth="1" style="26" min="2559" max="2559"/>
    <col width="9.140625" customWidth="1" style="26" min="2560" max="2560"/>
    <col width="10.28515625" customWidth="1" style="26" min="2561" max="2561"/>
    <col width="11.140625" customWidth="1" style="26" min="2562" max="2562"/>
    <col width="18.140625" customWidth="1" style="26" min="2563" max="2566"/>
    <col width="29.85546875" customWidth="1" style="26" min="2567" max="2567"/>
    <col width="9.140625" customWidth="1" style="26" min="2568" max="2814"/>
    <col width="6" customWidth="1" style="26" min="2815" max="2815"/>
    <col width="9.140625" customWidth="1" style="26" min="2816" max="2816"/>
    <col width="10.28515625" customWidth="1" style="26" min="2817" max="2817"/>
    <col width="11.140625" customWidth="1" style="26" min="2818" max="2818"/>
    <col width="18.140625" customWidth="1" style="26" min="2819" max="2822"/>
    <col width="29.85546875" customWidth="1" style="26" min="2823" max="2823"/>
    <col width="9.140625" customWidth="1" style="26" min="2824" max="3070"/>
    <col width="6" customWidth="1" style="26" min="3071" max="3071"/>
    <col width="9.140625" customWidth="1" style="26" min="3072" max="3072"/>
    <col width="10.28515625" customWidth="1" style="26" min="3073" max="3073"/>
    <col width="11.140625" customWidth="1" style="26" min="3074" max="3074"/>
    <col width="18.140625" customWidth="1" style="26" min="3075" max="3078"/>
    <col width="29.85546875" customWidth="1" style="26" min="3079" max="3079"/>
    <col width="9.140625" customWidth="1" style="26" min="3080" max="3326"/>
    <col width="6" customWidth="1" style="26" min="3327" max="3327"/>
    <col width="9.140625" customWidth="1" style="26" min="3328" max="3328"/>
    <col width="10.28515625" customWidth="1" style="26" min="3329" max="3329"/>
    <col width="11.140625" customWidth="1" style="26" min="3330" max="3330"/>
    <col width="18.140625" customWidth="1" style="26" min="3331" max="3334"/>
    <col width="29.85546875" customWidth="1" style="26" min="3335" max="3335"/>
    <col width="9.140625" customWidth="1" style="26" min="3336" max="3582"/>
    <col width="6" customWidth="1" style="26" min="3583" max="3583"/>
    <col width="9.140625" customWidth="1" style="26" min="3584" max="3584"/>
    <col width="10.28515625" customWidth="1" style="26" min="3585" max="3585"/>
    <col width="11.140625" customWidth="1" style="26" min="3586" max="3586"/>
    <col width="18.140625" customWidth="1" style="26" min="3587" max="3590"/>
    <col width="29.85546875" customWidth="1" style="26" min="3591" max="3591"/>
    <col width="9.140625" customWidth="1" style="26" min="3592" max="3838"/>
    <col width="6" customWidth="1" style="26" min="3839" max="3839"/>
    <col width="9.140625" customWidth="1" style="26" min="3840" max="3840"/>
    <col width="10.28515625" customWidth="1" style="26" min="3841" max="3841"/>
    <col width="11.140625" customWidth="1" style="26" min="3842" max="3842"/>
    <col width="18.140625" customWidth="1" style="26" min="3843" max="3846"/>
    <col width="29.85546875" customWidth="1" style="26" min="3847" max="3847"/>
    <col width="9.140625" customWidth="1" style="26" min="3848" max="4094"/>
    <col width="6" customWidth="1" style="26" min="4095" max="4095"/>
    <col width="9.140625" customWidth="1" style="26" min="4096" max="4096"/>
    <col width="10.28515625" customWidth="1" style="26" min="4097" max="4097"/>
    <col width="11.140625" customWidth="1" style="26" min="4098" max="4098"/>
    <col width="18.140625" customWidth="1" style="26" min="4099" max="4102"/>
    <col width="29.85546875" customWidth="1" style="26" min="4103" max="4103"/>
    <col width="9.140625" customWidth="1" style="26" min="4104" max="4350"/>
    <col width="6" customWidth="1" style="26" min="4351" max="4351"/>
    <col width="9.140625" customWidth="1" style="26" min="4352" max="4352"/>
    <col width="10.28515625" customWidth="1" style="26" min="4353" max="4353"/>
    <col width="11.140625" customWidth="1" style="26" min="4354" max="4354"/>
    <col width="18.140625" customWidth="1" style="26" min="4355" max="4358"/>
    <col width="29.85546875" customWidth="1" style="26" min="4359" max="4359"/>
    <col width="9.140625" customWidth="1" style="26" min="4360" max="4606"/>
    <col width="6" customWidth="1" style="26" min="4607" max="4607"/>
    <col width="9.140625" customWidth="1" style="26" min="4608" max="4608"/>
    <col width="10.28515625" customWidth="1" style="26" min="4609" max="4609"/>
    <col width="11.140625" customWidth="1" style="26" min="4610" max="4610"/>
    <col width="18.140625" customWidth="1" style="26" min="4611" max="4614"/>
    <col width="29.85546875" customWidth="1" style="26" min="4615" max="4615"/>
    <col width="9.140625" customWidth="1" style="26" min="4616" max="4862"/>
    <col width="6" customWidth="1" style="26" min="4863" max="4863"/>
    <col width="9.140625" customWidth="1" style="26" min="4864" max="4864"/>
    <col width="10.28515625" customWidth="1" style="26" min="4865" max="4865"/>
    <col width="11.140625" customWidth="1" style="26" min="4866" max="4866"/>
    <col width="18.140625" customWidth="1" style="26" min="4867" max="4870"/>
    <col width="29.85546875" customWidth="1" style="26" min="4871" max="4871"/>
    <col width="9.140625" customWidth="1" style="26" min="4872" max="5118"/>
    <col width="6" customWidth="1" style="26" min="5119" max="5119"/>
    <col width="9.140625" customWidth="1" style="26" min="5120" max="5120"/>
    <col width="10.28515625" customWidth="1" style="26" min="5121" max="5121"/>
    <col width="11.140625" customWidth="1" style="26" min="5122" max="5122"/>
    <col width="18.140625" customWidth="1" style="26" min="5123" max="5126"/>
    <col width="29.85546875" customWidth="1" style="26" min="5127" max="5127"/>
    <col width="9.140625" customWidth="1" style="26" min="5128" max="5374"/>
    <col width="6" customWidth="1" style="26" min="5375" max="5375"/>
    <col width="9.140625" customWidth="1" style="26" min="5376" max="5376"/>
    <col width="10.28515625" customWidth="1" style="26" min="5377" max="5377"/>
    <col width="11.140625" customWidth="1" style="26" min="5378" max="5378"/>
    <col width="18.140625" customWidth="1" style="26" min="5379" max="5382"/>
    <col width="29.85546875" customWidth="1" style="26" min="5383" max="5383"/>
    <col width="9.140625" customWidth="1" style="26" min="5384" max="5630"/>
    <col width="6" customWidth="1" style="26" min="5631" max="5631"/>
    <col width="9.140625" customWidth="1" style="26" min="5632" max="5632"/>
    <col width="10.28515625" customWidth="1" style="26" min="5633" max="5633"/>
    <col width="11.140625" customWidth="1" style="26" min="5634" max="5634"/>
    <col width="18.140625" customWidth="1" style="26" min="5635" max="5638"/>
    <col width="29.85546875" customWidth="1" style="26" min="5639" max="5639"/>
    <col width="9.140625" customWidth="1" style="26" min="5640" max="5886"/>
    <col width="6" customWidth="1" style="26" min="5887" max="5887"/>
    <col width="9.140625" customWidth="1" style="26" min="5888" max="5888"/>
    <col width="10.28515625" customWidth="1" style="26" min="5889" max="5889"/>
    <col width="11.140625" customWidth="1" style="26" min="5890" max="5890"/>
    <col width="18.140625" customWidth="1" style="26" min="5891" max="5894"/>
    <col width="29.85546875" customWidth="1" style="26" min="5895" max="5895"/>
    <col width="9.140625" customWidth="1" style="26" min="5896" max="6142"/>
    <col width="6" customWidth="1" style="26" min="6143" max="6143"/>
    <col width="9.140625" customWidth="1" style="26" min="6144" max="6144"/>
    <col width="10.28515625" customWidth="1" style="26" min="6145" max="6145"/>
    <col width="11.140625" customWidth="1" style="26" min="6146" max="6146"/>
    <col width="18.140625" customWidth="1" style="26" min="6147" max="6150"/>
    <col width="29.85546875" customWidth="1" style="26" min="6151" max="6151"/>
    <col width="9.140625" customWidth="1" style="26" min="6152" max="6398"/>
    <col width="6" customWidth="1" style="26" min="6399" max="6399"/>
    <col width="9.140625" customWidth="1" style="26" min="6400" max="6400"/>
    <col width="10.28515625" customWidth="1" style="26" min="6401" max="6401"/>
    <col width="11.140625" customWidth="1" style="26" min="6402" max="6402"/>
    <col width="18.140625" customWidth="1" style="26" min="6403" max="6406"/>
    <col width="29.85546875" customWidth="1" style="26" min="6407" max="6407"/>
    <col width="9.140625" customWidth="1" style="26" min="6408" max="6654"/>
    <col width="6" customWidth="1" style="26" min="6655" max="6655"/>
    <col width="9.140625" customWidth="1" style="26" min="6656" max="6656"/>
    <col width="10.28515625" customWidth="1" style="26" min="6657" max="6657"/>
    <col width="11.140625" customWidth="1" style="26" min="6658" max="6658"/>
    <col width="18.140625" customWidth="1" style="26" min="6659" max="6662"/>
    <col width="29.85546875" customWidth="1" style="26" min="6663" max="6663"/>
    <col width="9.140625" customWidth="1" style="26" min="6664" max="6910"/>
    <col width="6" customWidth="1" style="26" min="6911" max="6911"/>
    <col width="9.140625" customWidth="1" style="26" min="6912" max="6912"/>
    <col width="10.28515625" customWidth="1" style="26" min="6913" max="6913"/>
    <col width="11.140625" customWidth="1" style="26" min="6914" max="6914"/>
    <col width="18.140625" customWidth="1" style="26" min="6915" max="6918"/>
    <col width="29.85546875" customWidth="1" style="26" min="6919" max="6919"/>
    <col width="9.140625" customWidth="1" style="26" min="6920" max="7166"/>
    <col width="6" customWidth="1" style="26" min="7167" max="7167"/>
    <col width="9.140625" customWidth="1" style="26" min="7168" max="7168"/>
    <col width="10.28515625" customWidth="1" style="26" min="7169" max="7169"/>
    <col width="11.140625" customWidth="1" style="26" min="7170" max="7170"/>
    <col width="18.140625" customWidth="1" style="26" min="7171" max="7174"/>
    <col width="29.85546875" customWidth="1" style="26" min="7175" max="7175"/>
    <col width="9.140625" customWidth="1" style="26" min="7176" max="7422"/>
    <col width="6" customWidth="1" style="26" min="7423" max="7423"/>
    <col width="9.140625" customWidth="1" style="26" min="7424" max="7424"/>
    <col width="10.28515625" customWidth="1" style="26" min="7425" max="7425"/>
    <col width="11.140625" customWidth="1" style="26" min="7426" max="7426"/>
    <col width="18.140625" customWidth="1" style="26" min="7427" max="7430"/>
    <col width="29.85546875" customWidth="1" style="26" min="7431" max="7431"/>
    <col width="9.140625" customWidth="1" style="26" min="7432" max="7678"/>
    <col width="6" customWidth="1" style="26" min="7679" max="7679"/>
    <col width="9.140625" customWidth="1" style="26" min="7680" max="7680"/>
    <col width="10.28515625" customWidth="1" style="26" min="7681" max="7681"/>
    <col width="11.140625" customWidth="1" style="26" min="7682" max="7682"/>
    <col width="18.140625" customWidth="1" style="26" min="7683" max="7686"/>
    <col width="29.85546875" customWidth="1" style="26" min="7687" max="7687"/>
    <col width="9.140625" customWidth="1" style="26" min="7688" max="7934"/>
    <col width="6" customWidth="1" style="26" min="7935" max="7935"/>
    <col width="9.140625" customWidth="1" style="26" min="7936" max="7936"/>
    <col width="10.28515625" customWidth="1" style="26" min="7937" max="7937"/>
    <col width="11.140625" customWidth="1" style="26" min="7938" max="7938"/>
    <col width="18.140625" customWidth="1" style="26" min="7939" max="7942"/>
    <col width="29.85546875" customWidth="1" style="26" min="7943" max="7943"/>
    <col width="9.140625" customWidth="1" style="26" min="7944" max="8190"/>
    <col width="6" customWidth="1" style="26" min="8191" max="8191"/>
    <col width="9.140625" customWidth="1" style="26" min="8192" max="8192"/>
    <col width="10.28515625" customWidth="1" style="26" min="8193" max="8193"/>
    <col width="11.140625" customWidth="1" style="26" min="8194" max="8194"/>
    <col width="18.140625" customWidth="1" style="26" min="8195" max="8198"/>
    <col width="29.85546875" customWidth="1" style="26" min="8199" max="8199"/>
    <col width="9.140625" customWidth="1" style="26" min="8200" max="8446"/>
    <col width="6" customWidth="1" style="26" min="8447" max="8447"/>
    <col width="9.140625" customWidth="1" style="26" min="8448" max="8448"/>
    <col width="10.28515625" customWidth="1" style="26" min="8449" max="8449"/>
    <col width="11.140625" customWidth="1" style="26" min="8450" max="8450"/>
    <col width="18.140625" customWidth="1" style="26" min="8451" max="8454"/>
    <col width="29.85546875" customWidth="1" style="26" min="8455" max="8455"/>
    <col width="9.140625" customWidth="1" style="26" min="8456" max="8702"/>
    <col width="6" customWidth="1" style="26" min="8703" max="8703"/>
    <col width="9.140625" customWidth="1" style="26" min="8704" max="8704"/>
    <col width="10.28515625" customWidth="1" style="26" min="8705" max="8705"/>
    <col width="11.140625" customWidth="1" style="26" min="8706" max="8706"/>
    <col width="18.140625" customWidth="1" style="26" min="8707" max="8710"/>
    <col width="29.85546875" customWidth="1" style="26" min="8711" max="8711"/>
    <col width="9.140625" customWidth="1" style="26" min="8712" max="8958"/>
    <col width="6" customWidth="1" style="26" min="8959" max="8959"/>
    <col width="9.140625" customWidth="1" style="26" min="8960" max="8960"/>
    <col width="10.28515625" customWidth="1" style="26" min="8961" max="8961"/>
    <col width="11.140625" customWidth="1" style="26" min="8962" max="8962"/>
    <col width="18.140625" customWidth="1" style="26" min="8963" max="8966"/>
    <col width="29.85546875" customWidth="1" style="26" min="8967" max="8967"/>
    <col width="9.140625" customWidth="1" style="26" min="8968" max="9214"/>
    <col width="6" customWidth="1" style="26" min="9215" max="9215"/>
    <col width="9.140625" customWidth="1" style="26" min="9216" max="9216"/>
    <col width="10.28515625" customWidth="1" style="26" min="9217" max="9217"/>
    <col width="11.140625" customWidth="1" style="26" min="9218" max="9218"/>
    <col width="18.140625" customWidth="1" style="26" min="9219" max="9222"/>
    <col width="29.85546875" customWidth="1" style="26" min="9223" max="9223"/>
    <col width="9.140625" customWidth="1" style="26" min="9224" max="9470"/>
    <col width="6" customWidth="1" style="26" min="9471" max="9471"/>
    <col width="9.140625" customWidth="1" style="26" min="9472" max="9472"/>
    <col width="10.28515625" customWidth="1" style="26" min="9473" max="9473"/>
    <col width="11.140625" customWidth="1" style="26" min="9474" max="9474"/>
    <col width="18.140625" customWidth="1" style="26" min="9475" max="9478"/>
    <col width="29.85546875" customWidth="1" style="26" min="9479" max="9479"/>
    <col width="9.140625" customWidth="1" style="26" min="9480" max="9726"/>
    <col width="6" customWidth="1" style="26" min="9727" max="9727"/>
    <col width="9.140625" customWidth="1" style="26" min="9728" max="9728"/>
    <col width="10.28515625" customWidth="1" style="26" min="9729" max="9729"/>
    <col width="11.140625" customWidth="1" style="26" min="9730" max="9730"/>
    <col width="18.140625" customWidth="1" style="26" min="9731" max="9734"/>
    <col width="29.85546875" customWidth="1" style="26" min="9735" max="9735"/>
    <col width="9.140625" customWidth="1" style="26" min="9736" max="9982"/>
    <col width="6" customWidth="1" style="26" min="9983" max="9983"/>
    <col width="9.140625" customWidth="1" style="26" min="9984" max="9984"/>
    <col width="10.28515625" customWidth="1" style="26" min="9985" max="9985"/>
    <col width="11.140625" customWidth="1" style="26" min="9986" max="9986"/>
    <col width="18.140625" customWidth="1" style="26" min="9987" max="9990"/>
    <col width="29.85546875" customWidth="1" style="26" min="9991" max="9991"/>
    <col width="9.140625" customWidth="1" style="26" min="9992" max="10238"/>
    <col width="6" customWidth="1" style="26" min="10239" max="10239"/>
    <col width="9.140625" customWidth="1" style="26" min="10240" max="10240"/>
    <col width="10.28515625" customWidth="1" style="26" min="10241" max="10241"/>
    <col width="11.140625" customWidth="1" style="26" min="10242" max="10242"/>
    <col width="18.140625" customWidth="1" style="26" min="10243" max="10246"/>
    <col width="29.85546875" customWidth="1" style="26" min="10247" max="10247"/>
    <col width="9.140625" customWidth="1" style="26" min="10248" max="10494"/>
    <col width="6" customWidth="1" style="26" min="10495" max="10495"/>
    <col width="9.140625" customWidth="1" style="26" min="10496" max="10496"/>
    <col width="10.28515625" customWidth="1" style="26" min="10497" max="10497"/>
    <col width="11.140625" customWidth="1" style="26" min="10498" max="10498"/>
    <col width="18.140625" customWidth="1" style="26" min="10499" max="10502"/>
    <col width="29.85546875" customWidth="1" style="26" min="10503" max="10503"/>
    <col width="9.140625" customWidth="1" style="26" min="10504" max="10750"/>
    <col width="6" customWidth="1" style="26" min="10751" max="10751"/>
    <col width="9.140625" customWidth="1" style="26" min="10752" max="10752"/>
    <col width="10.28515625" customWidth="1" style="26" min="10753" max="10753"/>
    <col width="11.140625" customWidth="1" style="26" min="10754" max="10754"/>
    <col width="18.140625" customWidth="1" style="26" min="10755" max="10758"/>
    <col width="29.85546875" customWidth="1" style="26" min="10759" max="10759"/>
    <col width="9.140625" customWidth="1" style="26" min="10760" max="11006"/>
    <col width="6" customWidth="1" style="26" min="11007" max="11007"/>
    <col width="9.140625" customWidth="1" style="26" min="11008" max="11008"/>
    <col width="10.28515625" customWidth="1" style="26" min="11009" max="11009"/>
    <col width="11.140625" customWidth="1" style="26" min="11010" max="11010"/>
    <col width="18.140625" customWidth="1" style="26" min="11011" max="11014"/>
    <col width="29.85546875" customWidth="1" style="26" min="11015" max="11015"/>
    <col width="9.140625" customWidth="1" style="26" min="11016" max="11262"/>
    <col width="6" customWidth="1" style="26" min="11263" max="11263"/>
    <col width="9.140625" customWidth="1" style="26" min="11264" max="11264"/>
    <col width="10.28515625" customWidth="1" style="26" min="11265" max="11265"/>
    <col width="11.140625" customWidth="1" style="26" min="11266" max="11266"/>
    <col width="18.140625" customWidth="1" style="26" min="11267" max="11270"/>
    <col width="29.85546875" customWidth="1" style="26" min="11271" max="11271"/>
    <col width="9.140625" customWidth="1" style="26" min="11272" max="11518"/>
    <col width="6" customWidth="1" style="26" min="11519" max="11519"/>
    <col width="9.140625" customWidth="1" style="26" min="11520" max="11520"/>
    <col width="10.28515625" customWidth="1" style="26" min="11521" max="11521"/>
    <col width="11.140625" customWidth="1" style="26" min="11522" max="11522"/>
    <col width="18.140625" customWidth="1" style="26" min="11523" max="11526"/>
    <col width="29.85546875" customWidth="1" style="26" min="11527" max="11527"/>
    <col width="9.140625" customWidth="1" style="26" min="11528" max="11774"/>
    <col width="6" customWidth="1" style="26" min="11775" max="11775"/>
    <col width="9.140625" customWidth="1" style="26" min="11776" max="11776"/>
    <col width="10.28515625" customWidth="1" style="26" min="11777" max="11777"/>
    <col width="11.140625" customWidth="1" style="26" min="11778" max="11778"/>
    <col width="18.140625" customWidth="1" style="26" min="11779" max="11782"/>
    <col width="29.85546875" customWidth="1" style="26" min="11783" max="11783"/>
    <col width="9.140625" customWidth="1" style="26" min="11784" max="12030"/>
    <col width="6" customWidth="1" style="26" min="12031" max="12031"/>
    <col width="9.140625" customWidth="1" style="26" min="12032" max="12032"/>
    <col width="10.28515625" customWidth="1" style="26" min="12033" max="12033"/>
    <col width="11.140625" customWidth="1" style="26" min="12034" max="12034"/>
    <col width="18.140625" customWidth="1" style="26" min="12035" max="12038"/>
    <col width="29.85546875" customWidth="1" style="26" min="12039" max="12039"/>
    <col width="9.140625" customWidth="1" style="26" min="12040" max="12286"/>
    <col width="6" customWidth="1" style="26" min="12287" max="12287"/>
    <col width="9.140625" customWidth="1" style="26" min="12288" max="12288"/>
    <col width="10.28515625" customWidth="1" style="26" min="12289" max="12289"/>
    <col width="11.140625" customWidth="1" style="26" min="12290" max="12290"/>
    <col width="18.140625" customWidth="1" style="26" min="12291" max="12294"/>
    <col width="29.85546875" customWidth="1" style="26" min="12295" max="12295"/>
    <col width="9.140625" customWidth="1" style="26" min="12296" max="12542"/>
    <col width="6" customWidth="1" style="26" min="12543" max="12543"/>
    <col width="9.140625" customWidth="1" style="26" min="12544" max="12544"/>
    <col width="10.28515625" customWidth="1" style="26" min="12545" max="12545"/>
    <col width="11.140625" customWidth="1" style="26" min="12546" max="12546"/>
    <col width="18.140625" customWidth="1" style="26" min="12547" max="12550"/>
    <col width="29.85546875" customWidth="1" style="26" min="12551" max="12551"/>
    <col width="9.140625" customWidth="1" style="26" min="12552" max="12798"/>
    <col width="6" customWidth="1" style="26" min="12799" max="12799"/>
    <col width="9.140625" customWidth="1" style="26" min="12800" max="12800"/>
    <col width="10.28515625" customWidth="1" style="26" min="12801" max="12801"/>
    <col width="11.140625" customWidth="1" style="26" min="12802" max="12802"/>
    <col width="18.140625" customWidth="1" style="26" min="12803" max="12806"/>
    <col width="29.85546875" customWidth="1" style="26" min="12807" max="12807"/>
    <col width="9.140625" customWidth="1" style="26" min="12808" max="13054"/>
    <col width="6" customWidth="1" style="26" min="13055" max="13055"/>
    <col width="9.140625" customWidth="1" style="26" min="13056" max="13056"/>
    <col width="10.28515625" customWidth="1" style="26" min="13057" max="13057"/>
    <col width="11.140625" customWidth="1" style="26" min="13058" max="13058"/>
    <col width="18.140625" customWidth="1" style="26" min="13059" max="13062"/>
    <col width="29.85546875" customWidth="1" style="26" min="13063" max="13063"/>
    <col width="9.140625" customWidth="1" style="26" min="13064" max="13310"/>
    <col width="6" customWidth="1" style="26" min="13311" max="13311"/>
    <col width="9.140625" customWidth="1" style="26" min="13312" max="13312"/>
    <col width="10.28515625" customWidth="1" style="26" min="13313" max="13313"/>
    <col width="11.140625" customWidth="1" style="26" min="13314" max="13314"/>
    <col width="18.140625" customWidth="1" style="26" min="13315" max="13318"/>
    <col width="29.85546875" customWidth="1" style="26" min="13319" max="13319"/>
    <col width="9.140625" customWidth="1" style="26" min="13320" max="13566"/>
    <col width="6" customWidth="1" style="26" min="13567" max="13567"/>
    <col width="9.140625" customWidth="1" style="26" min="13568" max="13568"/>
    <col width="10.28515625" customWidth="1" style="26" min="13569" max="13569"/>
    <col width="11.140625" customWidth="1" style="26" min="13570" max="13570"/>
    <col width="18.140625" customWidth="1" style="26" min="13571" max="13574"/>
    <col width="29.85546875" customWidth="1" style="26" min="13575" max="13575"/>
    <col width="9.140625" customWidth="1" style="26" min="13576" max="13822"/>
    <col width="6" customWidth="1" style="26" min="13823" max="13823"/>
    <col width="9.140625" customWidth="1" style="26" min="13824" max="13824"/>
    <col width="10.28515625" customWidth="1" style="26" min="13825" max="13825"/>
    <col width="11.140625" customWidth="1" style="26" min="13826" max="13826"/>
    <col width="18.140625" customWidth="1" style="26" min="13827" max="13830"/>
    <col width="29.85546875" customWidth="1" style="26" min="13831" max="13831"/>
    <col width="9.140625" customWidth="1" style="26" min="13832" max="14078"/>
    <col width="6" customWidth="1" style="26" min="14079" max="14079"/>
    <col width="9.140625" customWidth="1" style="26" min="14080" max="14080"/>
    <col width="10.28515625" customWidth="1" style="26" min="14081" max="14081"/>
    <col width="11.140625" customWidth="1" style="26" min="14082" max="14082"/>
    <col width="18.140625" customWidth="1" style="26" min="14083" max="14086"/>
    <col width="29.85546875" customWidth="1" style="26" min="14087" max="14087"/>
    <col width="9.140625" customWidth="1" style="26" min="14088" max="14334"/>
    <col width="6" customWidth="1" style="26" min="14335" max="14335"/>
    <col width="9.140625" customWidth="1" style="26" min="14336" max="14336"/>
    <col width="10.28515625" customWidth="1" style="26" min="14337" max="14337"/>
    <col width="11.140625" customWidth="1" style="26" min="14338" max="14338"/>
    <col width="18.140625" customWidth="1" style="26" min="14339" max="14342"/>
    <col width="29.85546875" customWidth="1" style="26" min="14343" max="14343"/>
    <col width="9.140625" customWidth="1" style="26" min="14344" max="14590"/>
    <col width="6" customWidth="1" style="26" min="14591" max="14591"/>
    <col width="9.140625" customWidth="1" style="26" min="14592" max="14592"/>
    <col width="10.28515625" customWidth="1" style="26" min="14593" max="14593"/>
    <col width="11.140625" customWidth="1" style="26" min="14594" max="14594"/>
    <col width="18.140625" customWidth="1" style="26" min="14595" max="14598"/>
    <col width="29.85546875" customWidth="1" style="26" min="14599" max="14599"/>
    <col width="9.140625" customWidth="1" style="26" min="14600" max="14846"/>
    <col width="6" customWidth="1" style="26" min="14847" max="14847"/>
    <col width="9.140625" customWidth="1" style="26" min="14848" max="14848"/>
    <col width="10.28515625" customWidth="1" style="26" min="14849" max="14849"/>
    <col width="11.140625" customWidth="1" style="26" min="14850" max="14850"/>
    <col width="18.140625" customWidth="1" style="26" min="14851" max="14854"/>
    <col width="29.85546875" customWidth="1" style="26" min="14855" max="14855"/>
    <col width="9.140625" customWidth="1" style="26" min="14856" max="15102"/>
    <col width="6" customWidth="1" style="26" min="15103" max="15103"/>
    <col width="9.140625" customWidth="1" style="26" min="15104" max="15104"/>
    <col width="10.28515625" customWidth="1" style="26" min="15105" max="15105"/>
    <col width="11.140625" customWidth="1" style="26" min="15106" max="15106"/>
    <col width="18.140625" customWidth="1" style="26" min="15107" max="15110"/>
    <col width="29.85546875" customWidth="1" style="26" min="15111" max="15111"/>
    <col width="9.140625" customWidth="1" style="26" min="15112" max="15358"/>
    <col width="6" customWidth="1" style="26" min="15359" max="15359"/>
    <col width="9.140625" customWidth="1" style="26" min="15360" max="15360"/>
    <col width="10.28515625" customWidth="1" style="26" min="15361" max="15361"/>
    <col width="11.140625" customWidth="1" style="26" min="15362" max="15362"/>
    <col width="18.140625" customWidth="1" style="26" min="15363" max="15366"/>
    <col width="29.85546875" customWidth="1" style="26" min="15367" max="15367"/>
    <col width="9.140625" customWidth="1" style="26" min="15368" max="15614"/>
    <col width="6" customWidth="1" style="26" min="15615" max="15615"/>
    <col width="9.140625" customWidth="1" style="26" min="15616" max="15616"/>
    <col width="10.28515625" customWidth="1" style="26" min="15617" max="15617"/>
    <col width="11.140625" customWidth="1" style="26" min="15618" max="15618"/>
    <col width="18.140625" customWidth="1" style="26" min="15619" max="15622"/>
    <col width="29.85546875" customWidth="1" style="26" min="15623" max="15623"/>
    <col width="9.140625" customWidth="1" style="26" min="15624" max="15870"/>
    <col width="6" customWidth="1" style="26" min="15871" max="15871"/>
    <col width="9.140625" customWidth="1" style="26" min="15872" max="15872"/>
    <col width="10.28515625" customWidth="1" style="26" min="15873" max="15873"/>
    <col width="11.140625" customWidth="1" style="26" min="15874" max="15874"/>
    <col width="18.140625" customWidth="1" style="26" min="15875" max="15878"/>
    <col width="29.85546875" customWidth="1" style="26" min="15879" max="15879"/>
    <col width="9.140625" customWidth="1" style="26" min="15880" max="16126"/>
    <col width="6" customWidth="1" style="26" min="16127" max="16127"/>
    <col width="9.140625" customWidth="1" style="26" min="16128" max="16128"/>
    <col width="10.28515625" customWidth="1" style="26" min="16129" max="16129"/>
    <col width="11.140625" customWidth="1" style="26" min="16130" max="16130"/>
    <col width="18.140625" customWidth="1" style="26" min="16131" max="16134"/>
    <col width="29.85546875" customWidth="1" style="26" min="16135" max="16135"/>
    <col width="9.140625" customWidth="1" style="26" min="16136" max="16384"/>
  </cols>
  <sheetData>
    <row r="1" ht="30.75" customFormat="1" customHeight="1" s="33">
      <c r="A1" s="56" t="inlineStr">
        <is>
          <t>BẢNG KÊ DOANH THU TRONG NĂM 2016</t>
        </is>
      </c>
      <c r="J1" s="32" t="n"/>
      <c r="K1" s="57" t="inlineStr">
        <is>
          <t>BẢNG KÊ TỔNG LỢI NHUẬN TRONG 3 NĂM</t>
        </is>
      </c>
    </row>
    <row r="2" ht="30" customFormat="1" customHeight="1" s="19" thickBot="1">
      <c r="D2" s="17" t="n"/>
      <c r="E2" s="18" t="n"/>
      <c r="G2" s="44" t="inlineStr">
        <is>
          <t>Tỉ giá:</t>
        </is>
      </c>
      <c r="H2" s="45" t="n">
        <v>21000</v>
      </c>
      <c r="K2" s="22" t="n"/>
      <c r="L2" s="22" t="n"/>
      <c r="M2" s="22" t="n"/>
      <c r="N2" s="22" t="n"/>
      <c r="O2" s="22" t="n"/>
      <c r="P2" s="22" t="n"/>
      <c r="Q2" s="22" t="n"/>
      <c r="R2" s="22" t="n"/>
    </row>
    <row r="3" ht="50.25" customFormat="1" customHeight="1" s="19" thickTop="1">
      <c r="A3" s="46" t="inlineStr">
        <is>
          <t>S
T
T</t>
        </is>
      </c>
      <c r="B3" s="47" t="inlineStr">
        <is>
          <t>Mã hàng</t>
        </is>
      </c>
      <c r="C3" s="47" t="inlineStr">
        <is>
          <t>SỐ
LƯỢNG</t>
        </is>
      </c>
      <c r="D3" s="48" t="inlineStr">
        <is>
          <t>ĐƠN
GIÁ</t>
        </is>
      </c>
      <c r="E3" s="49" t="inlineStr">
        <is>
          <t>TRỊ
GIÁ</t>
        </is>
      </c>
      <c r="F3" s="47" t="inlineStr">
        <is>
          <t>THUẾ</t>
        </is>
      </c>
      <c r="G3" s="47" t="inlineStr">
        <is>
          <t>CƯỚC
CHUYÊN
CHỞ</t>
        </is>
      </c>
      <c r="H3" s="47" t="inlineStr">
        <is>
          <t>CỘNG USD</t>
        </is>
      </c>
      <c r="I3" s="50" t="inlineStr">
        <is>
          <t>CỘNG VNĐ</t>
        </is>
      </c>
      <c r="K3" s="51" t="inlineStr">
        <is>
          <t>S
T
T</t>
        </is>
      </c>
      <c r="L3" s="51" t="inlineStr">
        <is>
          <t>Mã hàng</t>
        </is>
      </c>
      <c r="M3" s="51" t="inlineStr">
        <is>
          <t>THÁNG 1</t>
        </is>
      </c>
      <c r="N3" s="51" t="inlineStr">
        <is>
          <t>THÁNG 2</t>
        </is>
      </c>
      <c r="O3" s="51" t="inlineStr">
        <is>
          <t>THÁNG 3</t>
        </is>
      </c>
      <c r="P3" s="51" t="inlineStr">
        <is>
          <t>THÁNG 4</t>
        </is>
      </c>
      <c r="Q3" s="51" t="inlineStr">
        <is>
          <t>THÁNG 5</t>
        </is>
      </c>
      <c r="R3" s="51" t="inlineStr">
        <is>
          <t>THÁNG 6</t>
        </is>
      </c>
    </row>
    <row r="4" ht="19.5" customFormat="1" customHeight="1" s="19">
      <c r="A4" s="4" t="n">
        <v>1</v>
      </c>
      <c r="B4" s="5" t="inlineStr">
        <is>
          <t>A1</t>
        </is>
      </c>
      <c r="C4" s="5" t="n">
        <v>100</v>
      </c>
      <c r="D4" s="5" t="n">
        <v>400</v>
      </c>
      <c r="E4" s="20">
        <f>C4*D4</f>
        <v>40000</v>
      </c>
      <c r="F4" s="20">
        <f>E4*5%</f>
        <v>2000</v>
      </c>
      <c r="G4" s="20">
        <f>C4*1500</f>
        <v>150000</v>
      </c>
      <c r="H4" s="20">
        <f>E4+F4+G4</f>
        <v>192000</v>
      </c>
      <c r="I4" s="21">
        <f>H4*$H$2</f>
        <v>4032000000</v>
      </c>
      <c r="K4" s="5" t="n">
        <v>1</v>
      </c>
      <c r="L4" s="5" t="inlineStr">
        <is>
          <t>A1</t>
        </is>
      </c>
      <c r="M4" s="5">
        <f>'2016'!C3+'2015'!C3+'2014'!C3</f>
        <v>-800</v>
      </c>
      <c r="N4" s="5">
        <f>'2016'!D3+'2015'!D3+'2014'!D3</f>
        <v>-770</v>
      </c>
      <c r="O4" s="5">
        <f>'2016'!E3+'2015'!E3+'2014'!E3</f>
        <v>130</v>
      </c>
      <c r="P4" s="5">
        <f>'2016'!F3+'2015'!F3+'2014'!F3</f>
        <v>-1300</v>
      </c>
      <c r="Q4" s="5">
        <f>'2016'!G3+'2015'!G3+'2014'!G3</f>
        <v>170</v>
      </c>
      <c r="R4" s="5">
        <f>'2016'!H3+'2015'!H3+'2014'!H3</f>
        <v>470</v>
      </c>
    </row>
    <row r="5" ht="19.5" customFormat="1" customHeight="1" s="19">
      <c r="A5" s="4" t="n">
        <v>2</v>
      </c>
      <c r="B5" s="5" t="inlineStr">
        <is>
          <t>A2</t>
        </is>
      </c>
      <c r="C5" s="5" t="n">
        <v>50</v>
      </c>
      <c r="D5" s="5" t="n">
        <v>150</v>
      </c>
      <c r="E5" s="20">
        <f>C5*D5</f>
        <v>7500</v>
      </c>
      <c r="F5" s="20">
        <f>E5*5%</f>
        <v>375</v>
      </c>
      <c r="G5" s="20">
        <f>C5*1500</f>
        <v>75000</v>
      </c>
      <c r="H5" s="20">
        <f>E5+F5+G5</f>
        <v>82875</v>
      </c>
      <c r="I5" s="21">
        <f>H5*$H$2</f>
        <v>1740375000</v>
      </c>
      <c r="K5" s="5" t="n">
        <v>2</v>
      </c>
      <c r="L5" s="5" t="inlineStr">
        <is>
          <t>A2</t>
        </is>
      </c>
      <c r="M5" s="5">
        <f>'2016'!C4+'2015'!C4+'2014'!C4</f>
        <v>-130</v>
      </c>
      <c r="N5" s="5">
        <f>'2016'!D4+'2015'!D4+'2014'!D4</f>
        <v>-860</v>
      </c>
      <c r="O5" s="5">
        <f>'2016'!E4+'2015'!E4+'2014'!E4</f>
        <v>-850</v>
      </c>
      <c r="P5" s="5">
        <f>'2016'!F4+'2015'!F4+'2014'!F4</f>
        <v>110</v>
      </c>
      <c r="Q5" s="5">
        <f>'2016'!G4+'2015'!G4+'2014'!G4</f>
        <v>-380</v>
      </c>
      <c r="R5" s="5">
        <f>'2016'!H4+'2015'!H4+'2014'!H4</f>
        <v>570</v>
      </c>
    </row>
    <row r="6" ht="19.5" customFormat="1" customHeight="1" s="19">
      <c r="A6" s="4" t="n">
        <v>3</v>
      </c>
      <c r="B6" s="5" t="inlineStr">
        <is>
          <t>A3</t>
        </is>
      </c>
      <c r="C6" s="5" t="n">
        <v>58</v>
      </c>
      <c r="D6" s="5" t="n">
        <v>120</v>
      </c>
      <c r="E6" s="20">
        <f>C6*D6</f>
        <v>6960</v>
      </c>
      <c r="F6" s="20">
        <f>E6*5%</f>
        <v>348</v>
      </c>
      <c r="G6" s="20">
        <f>C6*1500</f>
        <v>87000</v>
      </c>
      <c r="H6" s="20">
        <f>E6+F6+G6</f>
        <v>94308</v>
      </c>
      <c r="I6" s="21">
        <f>H6*$H$2</f>
        <v>1980468000</v>
      </c>
      <c r="K6" s="5" t="n">
        <v>3</v>
      </c>
      <c r="L6" s="5" t="inlineStr">
        <is>
          <t>A3</t>
        </is>
      </c>
      <c r="M6" s="5">
        <f>'2016'!C5+'2015'!C5+'2014'!C5</f>
        <v>82</v>
      </c>
      <c r="N6" s="5">
        <f>'2016'!D5+'2015'!D5+'2014'!D5</f>
        <v>-320</v>
      </c>
      <c r="O6" s="5">
        <f>'2016'!E5+'2015'!E5+'2014'!E5</f>
        <v>-1700</v>
      </c>
      <c r="P6" s="5">
        <f>'2016'!F5+'2015'!F5+'2014'!F5</f>
        <v>-20</v>
      </c>
      <c r="Q6" s="5">
        <f>'2016'!G5+'2015'!G5+'2014'!G5</f>
        <v>-310</v>
      </c>
      <c r="R6" s="5">
        <f>'2016'!H5+'2015'!H5+'2014'!H5</f>
        <v>-1770</v>
      </c>
    </row>
    <row r="7" ht="19.5" customFormat="1" customHeight="1" s="19">
      <c r="A7" s="4" t="n">
        <v>4</v>
      </c>
      <c r="B7" s="5" t="inlineStr">
        <is>
          <t>B1</t>
        </is>
      </c>
      <c r="C7" s="5" t="n">
        <v>79</v>
      </c>
      <c r="D7" s="5" t="n">
        <v>850</v>
      </c>
      <c r="E7" s="20">
        <f>C7*D7</f>
        <v>67150</v>
      </c>
      <c r="F7" s="20">
        <f>E7*5%</f>
        <v>3357.5</v>
      </c>
      <c r="G7" s="20">
        <f>C7*1500</f>
        <v>118500</v>
      </c>
      <c r="H7" s="20">
        <f>E7+F7+G7</f>
        <v>189007.5</v>
      </c>
      <c r="I7" s="21">
        <f>H7*$H$2</f>
        <v>3969157500</v>
      </c>
      <c r="K7" s="5" t="n">
        <v>4</v>
      </c>
      <c r="L7" s="5" t="inlineStr">
        <is>
          <t>B1</t>
        </is>
      </c>
      <c r="M7" s="5">
        <f>'2016'!C6+'2015'!C6+'2014'!C6</f>
        <v>531</v>
      </c>
      <c r="N7" s="5">
        <f>'2016'!D6+'2015'!D6+'2014'!D6</f>
        <v>-200</v>
      </c>
      <c r="O7" s="5">
        <f>'2016'!E6+'2015'!E6+'2014'!E6</f>
        <v>1460</v>
      </c>
      <c r="P7" s="5">
        <f>'2016'!F6+'2015'!F6+'2014'!F6</f>
        <v>-270</v>
      </c>
      <c r="Q7" s="5">
        <f>'2016'!G6+'2015'!G6+'2014'!G6</f>
        <v>680</v>
      </c>
      <c r="R7" s="5">
        <f>'2016'!H6+'2015'!H6+'2014'!H6</f>
        <v>-1140</v>
      </c>
    </row>
    <row r="8" ht="19.5" customFormat="1" customHeight="1" s="19">
      <c r="A8" s="4" t="n">
        <v>5</v>
      </c>
      <c r="B8" s="5" t="inlineStr">
        <is>
          <t>B2</t>
        </is>
      </c>
      <c r="C8" s="5" t="n">
        <v>92</v>
      </c>
      <c r="D8" s="5" t="n">
        <v>200</v>
      </c>
      <c r="E8" s="20">
        <f>C8*D8</f>
        <v>18400</v>
      </c>
      <c r="F8" s="20">
        <f>E8*5%</f>
        <v>920</v>
      </c>
      <c r="G8" s="20">
        <f>C8*1500</f>
        <v>138000</v>
      </c>
      <c r="H8" s="20">
        <f>E8+F8+G8</f>
        <v>157320</v>
      </c>
      <c r="I8" s="21">
        <f>H8*$H$2</f>
        <v>3303720000</v>
      </c>
      <c r="K8" s="5" t="n">
        <v>5</v>
      </c>
      <c r="L8" s="5" t="inlineStr">
        <is>
          <t>B2</t>
        </is>
      </c>
      <c r="M8" s="5">
        <f>'2016'!C7+'2015'!C7+'2014'!C7</f>
        <v>18</v>
      </c>
      <c r="N8" s="5">
        <f>'2016'!D7+'2015'!D7+'2014'!D7</f>
        <v>900</v>
      </c>
      <c r="O8" s="5">
        <f>'2016'!E7+'2015'!E7+'2014'!E7</f>
        <v>-70</v>
      </c>
      <c r="P8" s="5">
        <f>'2016'!F7+'2015'!F7+'2014'!F7</f>
        <v>-390</v>
      </c>
      <c r="Q8" s="5">
        <f>'2016'!G7+'2015'!G7+'2014'!G7</f>
        <v>550</v>
      </c>
      <c r="R8" s="5">
        <f>'2016'!H7+'2015'!H7+'2014'!H7</f>
        <v>-240</v>
      </c>
    </row>
    <row r="9" ht="19.5" customFormat="1" customHeight="1" s="19">
      <c r="A9" s="4" t="n">
        <v>6</v>
      </c>
      <c r="B9" s="5" t="inlineStr">
        <is>
          <t>B3</t>
        </is>
      </c>
      <c r="C9" s="5" t="n">
        <v>220</v>
      </c>
      <c r="D9" s="5" t="n">
        <v>250</v>
      </c>
      <c r="E9" s="20">
        <f>C9*D9</f>
        <v>55000</v>
      </c>
      <c r="F9" s="20">
        <f>E9*5%</f>
        <v>2750</v>
      </c>
      <c r="G9" s="20">
        <f>C9*1500</f>
        <v>330000</v>
      </c>
      <c r="H9" s="20">
        <f>E9+F9+G9</f>
        <v>387750</v>
      </c>
      <c r="I9" s="21">
        <f>H9*$H$2</f>
        <v>8142750000</v>
      </c>
      <c r="K9" s="5" t="n">
        <v>6</v>
      </c>
      <c r="L9" s="5" t="inlineStr">
        <is>
          <t>B3</t>
        </is>
      </c>
      <c r="M9" s="5">
        <f>'2016'!C8+'2015'!C8+'2014'!C8</f>
        <v>-270</v>
      </c>
      <c r="N9" s="5">
        <f>'2016'!D8+'2015'!D8+'2014'!D8</f>
        <v>-320</v>
      </c>
      <c r="O9" s="5">
        <f>'2016'!E8+'2015'!E8+'2014'!E8</f>
        <v>590</v>
      </c>
      <c r="P9" s="5">
        <f>'2016'!F8+'2015'!F8+'2014'!F8</f>
        <v>-70</v>
      </c>
      <c r="Q9" s="5">
        <f>'2016'!G8+'2015'!G8+'2014'!G8</f>
        <v>-400</v>
      </c>
      <c r="R9" s="5">
        <f>'2016'!H8+'2015'!H8+'2014'!H8</f>
        <v>-50</v>
      </c>
    </row>
    <row r="10" ht="19.5" customFormat="1" customHeight="1" s="19" thickBot="1">
      <c r="A10" s="7" t="n">
        <v>7</v>
      </c>
      <c r="B10" s="8" t="inlineStr">
        <is>
          <t>B4</t>
        </is>
      </c>
      <c r="C10" s="8" t="n">
        <v>199</v>
      </c>
      <c r="D10" s="8" t="n">
        <v>600</v>
      </c>
      <c r="E10" s="20">
        <f>C10*D10</f>
        <v>119400</v>
      </c>
      <c r="F10" s="20">
        <f>E10*5%</f>
        <v>5970</v>
      </c>
      <c r="G10" s="20">
        <f>C10*1500</f>
        <v>298500</v>
      </c>
      <c r="H10" s="20">
        <f>E10+F10+G10</f>
        <v>423870</v>
      </c>
      <c r="I10" s="21">
        <f>H10*$H$2</f>
        <v>8901270000</v>
      </c>
      <c r="K10" s="5" t="n">
        <v>7</v>
      </c>
      <c r="L10" s="5" t="inlineStr">
        <is>
          <t>B4</t>
        </is>
      </c>
      <c r="M10" s="5">
        <f>'2016'!C9+'2015'!C9+'2014'!C9</f>
        <v>721</v>
      </c>
      <c r="N10" s="5">
        <f>'2016'!D9+'2015'!D9+'2014'!D9</f>
        <v>-2040</v>
      </c>
      <c r="O10" s="5">
        <f>'2016'!E9+'2015'!E9+'2014'!E9</f>
        <v>-640</v>
      </c>
      <c r="P10" s="5">
        <f>'2016'!F9+'2015'!F9+'2014'!F9</f>
        <v>-480</v>
      </c>
      <c r="Q10" s="5">
        <f>'2016'!G9+'2015'!G9+'2014'!G9</f>
        <v>610</v>
      </c>
      <c r="R10" s="5">
        <f>'2016'!H9+'2015'!H9+'2014'!H9</f>
        <v>350</v>
      </c>
    </row>
    <row r="11" ht="19.5" customHeight="1" thickTop="1">
      <c r="A11" s="26" t="n"/>
      <c r="B11" s="26" t="n"/>
      <c r="C11" s="14" t="n"/>
      <c r="D11" s="14" t="n"/>
      <c r="E11" s="15" t="n"/>
      <c r="F11" s="15" t="n"/>
      <c r="G11" s="15" t="n"/>
      <c r="H11" s="15" t="n"/>
      <c r="K11" s="55" t="inlineStr">
        <is>
          <t>TỔNG</t>
        </is>
      </c>
      <c r="L11" s="52" t="n"/>
      <c r="M11" s="53">
        <f>SUM(M4:M10)</f>
        <v>152</v>
      </c>
      <c r="N11" s="53">
        <f>SUM(N4:N10)</f>
        <v>-3610</v>
      </c>
      <c r="O11" s="53">
        <f>SUM(O4:O10)</f>
        <v>-1080</v>
      </c>
      <c r="P11" s="53">
        <f>SUM(P4:P10)</f>
        <v>-2420</v>
      </c>
      <c r="Q11" s="53">
        <f>SUM(Q4:Q10)</f>
        <v>920</v>
      </c>
      <c r="R11" s="53">
        <f>SUM(R4:R10)</f>
        <v>-1810</v>
      </c>
    </row>
    <row r="12" ht="16.5" customHeight="1">
      <c r="M12" s="54">
        <f>MIN(M4:M10)</f>
        <v>-800</v>
      </c>
      <c r="O12" s="54">
        <f>MAX(O4:O10)</f>
        <v>1460</v>
      </c>
      <c r="Q12" s="54">
        <f>AVERAGE(Q4:Q10)</f>
        <v>131.428571428571</v>
      </c>
    </row>
    <row r="14" ht="16.5" customHeight="1">
      <c r="B14" s="30" t="n"/>
      <c r="C14" s="26" t="n"/>
      <c r="J14" s="19" t="n"/>
    </row>
    <row r="15" ht="18.75" customFormat="1" customHeight="1" s="19">
      <c r="B15" s="27" t="n"/>
      <c r="C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</row>
    <row r="16" ht="18.75" customFormat="1" customHeight="1" s="19">
      <c r="M16" s="26" t="n"/>
      <c r="N16" s="26" t="n"/>
      <c r="O16" s="26" t="n"/>
      <c r="P16" s="26" t="n"/>
      <c r="Q16" s="26" t="n"/>
      <c r="R16" s="26" t="n"/>
      <c r="S16" s="26" t="n"/>
    </row>
    <row r="17" ht="16.5" customFormat="1" customHeight="1" s="19">
      <c r="M17" s="26" t="n"/>
      <c r="N17" s="26" t="n"/>
      <c r="O17" s="26" t="n"/>
      <c r="P17" s="26" t="n"/>
      <c r="Q17" s="26" t="n"/>
      <c r="R17" s="26" t="n"/>
      <c r="S17" s="26" t="n"/>
    </row>
    <row r="18" ht="18.75" customFormat="1" customHeight="1" s="19">
      <c r="M18" s="26" t="n"/>
      <c r="N18" s="26" t="n"/>
      <c r="O18" s="26" t="n"/>
      <c r="P18" s="26" t="n"/>
      <c r="Q18" s="26" t="n"/>
      <c r="R18" s="26" t="n"/>
      <c r="S18" s="26" t="n"/>
    </row>
    <row r="19" ht="18.75" customFormat="1" customHeight="1" s="19">
      <c r="M19" s="26" t="n"/>
      <c r="N19" s="26" t="n"/>
      <c r="O19" s="26" t="n"/>
      <c r="P19" s="26" t="n"/>
      <c r="Q19" s="26" t="n"/>
      <c r="R19" s="26" t="n"/>
      <c r="S19" s="26" t="n"/>
    </row>
    <row r="20" ht="18.75" customFormat="1" customHeight="1" s="19"/>
    <row r="21" ht="16.5" customFormat="1" customHeight="1" s="19">
      <c r="R21" s="26" t="n"/>
    </row>
    <row r="22" ht="16.5" customHeight="1">
      <c r="J22" s="19" t="n"/>
      <c r="K22" s="19" t="n"/>
      <c r="R22" s="12" t="n"/>
    </row>
    <row r="23" ht="16.5" customHeight="1">
      <c r="J23" s="19" t="n"/>
      <c r="R23" s="12" t="n"/>
    </row>
    <row r="24" ht="16.5" customHeight="1">
      <c r="R24" s="12" t="n"/>
    </row>
    <row r="25" ht="16.5" customHeight="1">
      <c r="R25" s="12" t="n"/>
    </row>
    <row r="26" ht="16.5" customHeight="1">
      <c r="R26" s="12" t="n"/>
    </row>
    <row r="29" ht="16.5" customHeight="1">
      <c r="K29" s="12" t="n"/>
      <c r="L29" s="12" t="n"/>
      <c r="M29" s="12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</row>
  </sheetData>
  <mergeCells count="2">
    <mergeCell ref="A1:I1"/>
    <mergeCell ref="K1:R1"/>
  </mergeCells>
  <pageMargins left="1.25" right="0.75" top="0.25" bottom="0.25" header="0.5" footer="0.5"/>
  <pageSetup orientation="landscape" paperSize="9"/>
  <headerFooter alignWithMargins="0">
    <oddHeader>&amp;RBiên soạn: Khoa Công nghệ Thông tin - Toán Ứng dụng, ĐH Bán công Tôn Đức Thắng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showFormulas="1" tabSelected="0" workbookViewId="0">
      <selection activeCell="I4" sqref="I4"/>
    </sheetView>
  </sheetViews>
  <sheetFormatPr baseColWidth="8" defaultColWidth="14.42578125" defaultRowHeight="15" customHeight="1"/>
  <cols>
    <col width="5.7109375" bestFit="1" customWidth="1" style="1" min="1" max="1"/>
    <col width="7.5703125" customWidth="1" style="1" min="2" max="2"/>
    <col width="10.5703125" customWidth="1" style="1" min="3" max="7"/>
    <col width="20" customWidth="1" style="1" min="8" max="8"/>
    <col width="21.42578125" customWidth="1" style="1" min="9" max="9"/>
    <col width="4.5703125" customWidth="1" style="1" min="10" max="10"/>
    <col width="4" customWidth="1" style="1" min="11" max="11"/>
    <col width="14.42578125" customWidth="1" style="1" min="12" max="16384"/>
  </cols>
  <sheetData>
    <row r="1" ht="36.75" customHeight="1" thickBot="1">
      <c r="A1" s="58" t="inlineStr">
        <is>
          <t>BẢNG KÊ LỢI NHUẬN TRONG NĂM 2016</t>
        </is>
      </c>
    </row>
    <row r="2" ht="33.75" customFormat="1" customHeight="1" s="12" thickTop="1">
      <c r="A2" s="34" t="inlineStr">
        <is>
          <t>STT</t>
        </is>
      </c>
      <c r="B2" s="35" t="inlineStr">
        <is>
          <t>Mã hàng</t>
        </is>
      </c>
      <c r="C2" s="35" t="inlineStr">
        <is>
          <t>THÁNG 1</t>
        </is>
      </c>
      <c r="D2" s="35" t="inlineStr">
        <is>
          <t>THÁNG 2</t>
        </is>
      </c>
      <c r="E2" s="35" t="inlineStr">
        <is>
          <t>THÁNG 3</t>
        </is>
      </c>
      <c r="F2" s="35" t="inlineStr">
        <is>
          <t>THÁNG 4</t>
        </is>
      </c>
      <c r="G2" s="35" t="inlineStr">
        <is>
          <t>THÁNG 5</t>
        </is>
      </c>
      <c r="H2" s="36" t="inlineStr">
        <is>
          <t>THÁNG 6</t>
        </is>
      </c>
    </row>
    <row r="3" ht="16.5" customFormat="1" customHeight="1" s="12">
      <c r="A3" s="4" t="n"/>
      <c r="B3" s="5" t="inlineStr">
        <is>
          <t>A1</t>
        </is>
      </c>
      <c r="C3" s="5" t="n">
        <v>820</v>
      </c>
      <c r="D3" s="5" t="n">
        <v>150</v>
      </c>
      <c r="E3" s="5" t="n">
        <v>-410</v>
      </c>
      <c r="F3" s="5" t="n">
        <v>-350</v>
      </c>
      <c r="G3" s="5" t="n">
        <v>-210</v>
      </c>
      <c r="H3" s="6" t="n">
        <v>30</v>
      </c>
    </row>
    <row r="4" ht="16.5" customFormat="1" customHeight="1" s="12">
      <c r="A4" s="4" t="n"/>
      <c r="B4" s="5" t="inlineStr">
        <is>
          <t>A2</t>
        </is>
      </c>
      <c r="C4" s="5" t="n">
        <v>440</v>
      </c>
      <c r="D4" s="5" t="n">
        <v>320</v>
      </c>
      <c r="E4" s="5" t="n">
        <v>-90</v>
      </c>
      <c r="F4" s="5" t="n">
        <v>80</v>
      </c>
      <c r="G4" s="5" t="n">
        <v>-350</v>
      </c>
      <c r="H4" s="6" t="n">
        <v>-90</v>
      </c>
    </row>
    <row r="5" ht="16.5" customFormat="1" customHeight="1" s="12">
      <c r="A5" s="4" t="n"/>
      <c r="B5" s="5" t="inlineStr">
        <is>
          <t>A3</t>
        </is>
      </c>
      <c r="C5" s="5" t="n">
        <v>332</v>
      </c>
      <c r="D5" s="5" t="n">
        <v>300</v>
      </c>
      <c r="E5" s="5" t="n">
        <v>120</v>
      </c>
      <c r="F5" s="5" t="n">
        <v>220</v>
      </c>
      <c r="G5" s="5" t="n">
        <v>230</v>
      </c>
      <c r="H5" s="6" t="n">
        <v>160</v>
      </c>
    </row>
    <row r="6" ht="16.5" customFormat="1" customHeight="1" s="12">
      <c r="A6" s="4" t="n"/>
      <c r="B6" s="5" t="inlineStr">
        <is>
          <t>B1</t>
        </is>
      </c>
      <c r="C6" s="5" t="n">
        <v>591</v>
      </c>
      <c r="D6" s="5" t="n">
        <v>-580</v>
      </c>
      <c r="E6" s="5" t="n">
        <v>520</v>
      </c>
      <c r="F6" s="5" t="n">
        <v>100</v>
      </c>
      <c r="G6" s="5" t="n">
        <v>370</v>
      </c>
      <c r="H6" s="6" t="n">
        <v>30</v>
      </c>
    </row>
    <row r="7" ht="16.5" customFormat="1" customHeight="1" s="12">
      <c r="A7" s="4" t="n"/>
      <c r="B7" s="5" t="inlineStr">
        <is>
          <t>B2</t>
        </is>
      </c>
      <c r="C7" s="5" t="n">
        <v>-42</v>
      </c>
      <c r="D7" s="5" t="n">
        <v>440</v>
      </c>
      <c r="E7" s="5" t="n">
        <v>-490</v>
      </c>
      <c r="F7" s="5" t="n">
        <v>-40</v>
      </c>
      <c r="G7" s="5" t="n">
        <v>-100</v>
      </c>
      <c r="H7" s="6" t="n">
        <v>170</v>
      </c>
    </row>
    <row r="8" ht="16.5" customFormat="1" customHeight="1" s="12">
      <c r="A8" s="4" t="n"/>
      <c r="B8" s="5" t="inlineStr">
        <is>
          <t>B3</t>
        </is>
      </c>
      <c r="C8" s="5" t="n">
        <v>60</v>
      </c>
      <c r="D8" s="5" t="n">
        <v>120</v>
      </c>
      <c r="E8" s="5" t="n">
        <v>210</v>
      </c>
      <c r="F8" s="5" t="n">
        <v>320</v>
      </c>
      <c r="G8" s="5" t="n">
        <v>490</v>
      </c>
      <c r="H8" s="6" t="n">
        <v>740</v>
      </c>
    </row>
    <row r="9" ht="17.25" customFormat="1" customHeight="1" s="12" thickBot="1">
      <c r="A9" s="7" t="n"/>
      <c r="B9" s="8" t="inlineStr">
        <is>
          <t>B4</t>
        </is>
      </c>
      <c r="C9" s="8" t="n">
        <v>751</v>
      </c>
      <c r="D9" s="8" t="n">
        <v>-370</v>
      </c>
      <c r="E9" s="8" t="n">
        <v>490</v>
      </c>
      <c r="F9" s="8" t="n">
        <v>380</v>
      </c>
      <c r="G9" s="8" t="n">
        <v>190</v>
      </c>
      <c r="H9" s="9" t="n">
        <v>-90</v>
      </c>
    </row>
    <row r="10" ht="17.25" customFormat="1" customHeight="1" s="12" thickTop="1"/>
    <row r="11" ht="16.5" customFormat="1" customHeight="1" s="12">
      <c r="A11" s="11" t="n"/>
      <c r="B11" s="11" t="n"/>
      <c r="C11" s="12" t="n"/>
      <c r="D11" s="12" t="n"/>
      <c r="E11" s="12" t="n"/>
      <c r="F11" s="12" t="n"/>
      <c r="G11" s="12" t="n"/>
      <c r="H11" s="12" t="n"/>
    </row>
    <row r="12" ht="15" customHeight="1">
      <c r="C12" s="19" t="n"/>
      <c r="D12" s="19" t="n"/>
      <c r="E12" s="19" t="n"/>
      <c r="F12" s="19" t="n"/>
      <c r="G12" s="19" t="n"/>
      <c r="H12" s="19" t="n"/>
    </row>
    <row r="13" ht="16.5" customFormat="1" customHeight="1" s="12">
      <c r="C13" s="40" t="inlineStr">
        <is>
          <t>Tổng lợi nhuận của tất cả các mặt hàng trong tất cả các tháng:</t>
        </is>
      </c>
      <c r="D13" s="37" t="n"/>
      <c r="E13" s="37" t="n"/>
      <c r="F13" s="37" t="n"/>
      <c r="G13" s="38" t="n"/>
      <c r="H13" s="38" t="n"/>
      <c r="I13" s="39">
        <f>SUM(DATA)</f>
        <v>5962</v>
      </c>
      <c r="J13" s="12" t="n"/>
    </row>
    <row r="14" ht="16.5" customFormat="1" customHeight="1" s="12">
      <c r="C14" s="40" t="n"/>
      <c r="D14" s="37" t="n"/>
      <c r="E14" s="37" t="n"/>
      <c r="F14" s="37" t="n"/>
      <c r="G14" s="37" t="n"/>
      <c r="H14" s="37" t="n"/>
      <c r="I14" s="12" t="n"/>
      <c r="J14" s="12" t="n"/>
    </row>
    <row r="15" ht="16.5" customFormat="1" customHeight="1" s="12">
      <c r="C15" s="40" t="inlineStr">
        <is>
          <t>Lợi nhuận lớn nhất của tất cả các mặt hàng trong tất cả các tháng:</t>
        </is>
      </c>
      <c r="D15" s="37" t="n"/>
      <c r="E15" s="37" t="n"/>
      <c r="F15" s="37" t="n"/>
      <c r="G15" s="37" t="n"/>
      <c r="H15" s="37" t="n"/>
      <c r="I15" s="39">
        <f>MAX(DATA)</f>
        <v>820</v>
      </c>
      <c r="J15" s="12" t="n"/>
    </row>
    <row r="16" ht="16.5" customFormat="1" customHeight="1" s="12">
      <c r="C16" s="40" t="n"/>
      <c r="D16" s="37" t="n"/>
      <c r="E16" s="37" t="n"/>
      <c r="F16" s="37" t="n"/>
      <c r="G16" s="37" t="n"/>
      <c r="H16" s="37" t="n"/>
      <c r="I16" s="12" t="n"/>
      <c r="J16" s="12" t="n"/>
    </row>
    <row r="17" ht="16.5" customFormat="1" customHeight="1" s="12">
      <c r="C17" s="40" t="inlineStr">
        <is>
          <t>Lợi nhuận trung bình của tất cả các mặt hàng trong tất cả các tháng:</t>
        </is>
      </c>
      <c r="D17" s="37" t="n"/>
      <c r="E17" s="37" t="n"/>
      <c r="F17" s="37" t="n"/>
      <c r="G17" s="37" t="n"/>
      <c r="H17" s="37" t="n"/>
      <c r="I17" s="39">
        <f>AVERAGE(DATA)</f>
        <v>141.952380952381</v>
      </c>
      <c r="J17" s="12" t="n"/>
    </row>
    <row r="18" ht="16.5" customFormat="1" customHeight="1" s="12"/>
    <row r="19" ht="15" customHeight="1">
      <c r="C19" s="26" t="n"/>
      <c r="D19" s="26" t="n"/>
      <c r="E19" s="26" t="n"/>
      <c r="F19" s="26" t="n"/>
      <c r="G19" s="26" t="n"/>
      <c r="H19" s="26" t="n"/>
    </row>
  </sheetData>
  <mergeCells count="1">
    <mergeCell ref="A1:H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0" workbookViewId="0">
      <selection activeCell="A1" sqref="A1:H1"/>
    </sheetView>
  </sheetViews>
  <sheetFormatPr baseColWidth="8" defaultColWidth="14.42578125" defaultRowHeight="15" customHeight="1"/>
  <cols>
    <col width="5.7109375" bestFit="1" customWidth="1" style="1" min="1" max="1"/>
    <col width="7.5703125" customWidth="1" style="1" min="2" max="2"/>
    <col width="10.5703125" customWidth="1" style="1" min="3" max="7"/>
    <col width="10.28515625" customWidth="1" style="1" min="8" max="8"/>
    <col width="8.7109375" customWidth="1" style="1" min="9" max="9"/>
    <col width="4.5703125" customWidth="1" style="1" min="10" max="10"/>
    <col width="14.42578125" customWidth="1" style="1" min="11" max="16384"/>
  </cols>
  <sheetData>
    <row r="1" ht="36" customHeight="1" thickBot="1">
      <c r="A1" s="58" t="inlineStr">
        <is>
          <t>BẢNG KÊ LỢI NHUẬN TRONG NĂM 2015</t>
        </is>
      </c>
    </row>
    <row r="2" ht="33.75" customFormat="1" customHeight="1" s="12" thickTop="1">
      <c r="A2" s="41" t="inlineStr">
        <is>
          <t>STT</t>
        </is>
      </c>
      <c r="B2" s="42" t="inlineStr">
        <is>
          <t>Mã hàng</t>
        </is>
      </c>
      <c r="C2" s="42" t="inlineStr">
        <is>
          <t>THÁNG 1</t>
        </is>
      </c>
      <c r="D2" s="42" t="inlineStr">
        <is>
          <t>THÁNG 2</t>
        </is>
      </c>
      <c r="E2" s="42" t="inlineStr">
        <is>
          <t>THÁNG 3</t>
        </is>
      </c>
      <c r="F2" s="42" t="inlineStr">
        <is>
          <t>THÁNG 4</t>
        </is>
      </c>
      <c r="G2" s="42" t="inlineStr">
        <is>
          <t>THÁNG 5</t>
        </is>
      </c>
      <c r="H2" s="43" t="inlineStr">
        <is>
          <t>THÁNG 6</t>
        </is>
      </c>
    </row>
    <row r="3" ht="15" customFormat="1" customHeight="1" s="12">
      <c r="A3" s="4" t="n"/>
      <c r="B3" s="5" t="inlineStr">
        <is>
          <t>A1</t>
        </is>
      </c>
      <c r="C3" s="5" t="n">
        <v>-790</v>
      </c>
      <c r="D3" s="5" t="n">
        <v>-550</v>
      </c>
      <c r="E3" s="5" t="n">
        <v>20</v>
      </c>
      <c r="F3" s="5" t="n">
        <v>50</v>
      </c>
      <c r="G3" s="5" t="n">
        <v>70</v>
      </c>
      <c r="H3" s="6" t="n">
        <v>-370</v>
      </c>
    </row>
    <row r="4" ht="15" customFormat="1" customHeight="1" s="12">
      <c r="A4" s="4" t="n"/>
      <c r="B4" s="5" t="inlineStr">
        <is>
          <t>A2</t>
        </is>
      </c>
      <c r="C4" s="5" t="n">
        <v>-290</v>
      </c>
      <c r="D4" s="5" t="n">
        <v>-620</v>
      </c>
      <c r="E4" s="5" t="n">
        <v>120</v>
      </c>
      <c r="F4" s="5" t="n">
        <v>-700</v>
      </c>
      <c r="G4" s="5" t="n">
        <v>520</v>
      </c>
      <c r="H4" s="6" t="n">
        <v>520</v>
      </c>
    </row>
    <row r="5" ht="15" customFormat="1" customHeight="1" s="12">
      <c r="A5" s="4" t="n"/>
      <c r="B5" s="5" t="inlineStr">
        <is>
          <t>A3</t>
        </is>
      </c>
      <c r="C5" s="5" t="n">
        <v>-920</v>
      </c>
      <c r="D5" s="5" t="n">
        <v>-850</v>
      </c>
      <c r="E5" s="5" t="n">
        <v>-890</v>
      </c>
      <c r="F5" s="5" t="n">
        <v>-10</v>
      </c>
      <c r="G5" s="5" t="n">
        <v>430</v>
      </c>
      <c r="H5" s="6" t="n">
        <v>-940</v>
      </c>
    </row>
    <row r="6" ht="15" customFormat="1" customHeight="1" s="12">
      <c r="A6" s="4" t="n"/>
      <c r="B6" s="5" t="inlineStr">
        <is>
          <t>B1</t>
        </is>
      </c>
      <c r="C6" s="5" t="n">
        <v>-630</v>
      </c>
      <c r="D6" s="5" t="n">
        <v>-550</v>
      </c>
      <c r="E6" s="5" t="n">
        <v>820</v>
      </c>
      <c r="F6" s="5" t="n">
        <v>550</v>
      </c>
      <c r="G6" s="5" t="n">
        <v>530</v>
      </c>
      <c r="H6" s="6" t="n">
        <v>-280</v>
      </c>
    </row>
    <row r="7" ht="15" customFormat="1" customHeight="1" s="12">
      <c r="A7" s="4" t="n"/>
      <c r="B7" s="5" t="inlineStr">
        <is>
          <t>B2</t>
        </is>
      </c>
      <c r="C7" s="5" t="n">
        <v>230</v>
      </c>
      <c r="D7" s="5" t="n">
        <v>60</v>
      </c>
      <c r="E7" s="5" t="n">
        <v>840</v>
      </c>
      <c r="F7" s="5" t="n">
        <v>-590</v>
      </c>
      <c r="G7" s="5" t="n">
        <v>740</v>
      </c>
      <c r="H7" s="6" t="n">
        <v>540</v>
      </c>
    </row>
    <row r="8" ht="15" customFormat="1" customHeight="1" s="12">
      <c r="A8" s="4" t="n"/>
      <c r="B8" s="5" t="inlineStr">
        <is>
          <t>B3</t>
        </is>
      </c>
      <c r="C8" s="5" t="n">
        <v>-760</v>
      </c>
      <c r="D8" s="5" t="n">
        <v>-560</v>
      </c>
      <c r="E8" s="5" t="n">
        <v>540</v>
      </c>
      <c r="F8" s="5" t="n">
        <v>200</v>
      </c>
      <c r="G8" s="5" t="n">
        <v>-40</v>
      </c>
      <c r="H8" s="6" t="n">
        <v>-710</v>
      </c>
    </row>
    <row r="9" ht="15" customFormat="1" customHeight="1" s="12" thickBot="1">
      <c r="A9" s="7" t="n"/>
      <c r="B9" s="8" t="inlineStr">
        <is>
          <t>B4</t>
        </is>
      </c>
      <c r="C9" s="8" t="n">
        <v>350</v>
      </c>
      <c r="D9" s="8" t="n">
        <v>-760</v>
      </c>
      <c r="E9" s="8" t="n">
        <v>-390</v>
      </c>
      <c r="F9" s="8" t="n">
        <v>-550</v>
      </c>
      <c r="G9" s="8" t="n">
        <v>690</v>
      </c>
      <c r="H9" s="9" t="n">
        <v>520</v>
      </c>
    </row>
    <row r="10" ht="15" customHeight="1" thickTop="1"/>
  </sheetData>
  <mergeCells count="1">
    <mergeCell ref="A1:H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0" workbookViewId="0">
      <selection activeCell="A1" sqref="A1:H1"/>
    </sheetView>
  </sheetViews>
  <sheetFormatPr baseColWidth="8" defaultColWidth="14.42578125" defaultRowHeight="15" customHeight="1"/>
  <cols>
    <col width="5.7109375" bestFit="1" customWidth="1" style="1" min="1" max="1"/>
    <col width="7.5703125" customWidth="1" style="1" min="2" max="2"/>
    <col width="10.5703125" customWidth="1" style="1" min="3" max="7"/>
    <col width="9.7109375" customWidth="1" style="1" min="8" max="8"/>
    <col width="8.7109375" customWidth="1" style="1" min="9" max="9"/>
    <col width="14.42578125" customWidth="1" style="1" min="10" max="16384"/>
  </cols>
  <sheetData>
    <row r="1" ht="36" customHeight="1" thickBot="1">
      <c r="A1" s="58" t="inlineStr">
        <is>
          <t>BẢNG KÊ LỢI NHUẬN TRONG NĂM 2014</t>
        </is>
      </c>
    </row>
    <row r="2" ht="33.75" customFormat="1" customHeight="1" s="12" thickTop="1">
      <c r="A2" s="41" t="inlineStr">
        <is>
          <t>STT</t>
        </is>
      </c>
      <c r="B2" s="42" t="inlineStr">
        <is>
          <t>Mã hàng</t>
        </is>
      </c>
      <c r="C2" s="42" t="inlineStr">
        <is>
          <t>THÁNG 1</t>
        </is>
      </c>
      <c r="D2" s="42" t="inlineStr">
        <is>
          <t>THÁNG 2</t>
        </is>
      </c>
      <c r="E2" s="42" t="inlineStr">
        <is>
          <t>THÁNG 3</t>
        </is>
      </c>
      <c r="F2" s="42" t="inlineStr">
        <is>
          <t>THÁNG 4</t>
        </is>
      </c>
      <c r="G2" s="42" t="inlineStr">
        <is>
          <t>THÁNG 5</t>
        </is>
      </c>
      <c r="H2" s="43" t="inlineStr">
        <is>
          <t>THÁNG 6</t>
        </is>
      </c>
    </row>
    <row r="3" ht="15" customFormat="1" customHeight="1" s="12">
      <c r="A3" s="4" t="n"/>
      <c r="B3" s="5" t="inlineStr">
        <is>
          <t>A1</t>
        </is>
      </c>
      <c r="C3" s="5" t="n">
        <v>-830</v>
      </c>
      <c r="D3" s="5" t="n">
        <v>-370</v>
      </c>
      <c r="E3" s="5" t="n">
        <v>520</v>
      </c>
      <c r="F3" s="5" t="n">
        <v>-1000</v>
      </c>
      <c r="G3" s="5" t="n">
        <v>310</v>
      </c>
      <c r="H3" s="6" t="n">
        <v>810</v>
      </c>
    </row>
    <row r="4" ht="15" customFormat="1" customHeight="1" s="12">
      <c r="A4" s="4" t="n"/>
      <c r="B4" s="5" t="inlineStr">
        <is>
          <t>A2</t>
        </is>
      </c>
      <c r="C4" s="5" t="n">
        <v>-280</v>
      </c>
      <c r="D4" s="5" t="n">
        <v>-560</v>
      </c>
      <c r="E4" s="5" t="n">
        <v>-880</v>
      </c>
      <c r="F4" s="5" t="n">
        <v>730</v>
      </c>
      <c r="G4" s="5" t="n">
        <v>-550</v>
      </c>
      <c r="H4" s="6" t="n">
        <v>140</v>
      </c>
    </row>
    <row r="5" ht="15" customFormat="1" customHeight="1" s="12">
      <c r="A5" s="4" t="n"/>
      <c r="B5" s="5" t="inlineStr">
        <is>
          <t>A3</t>
        </is>
      </c>
      <c r="C5" s="5" t="n">
        <v>670</v>
      </c>
      <c r="D5" s="5" t="n">
        <v>230</v>
      </c>
      <c r="E5" s="5" t="n">
        <v>-930</v>
      </c>
      <c r="F5" s="5" t="n">
        <v>-230</v>
      </c>
      <c r="G5" s="5" t="n">
        <v>-970</v>
      </c>
      <c r="H5" s="6" t="n">
        <v>-990</v>
      </c>
    </row>
    <row r="6" ht="15" customFormat="1" customHeight="1" s="12">
      <c r="A6" s="4" t="n"/>
      <c r="B6" s="5" t="inlineStr">
        <is>
          <t>B1</t>
        </is>
      </c>
      <c r="C6" s="5" t="n">
        <v>570</v>
      </c>
      <c r="D6" s="5" t="n">
        <v>930</v>
      </c>
      <c r="E6" s="5" t="n">
        <v>120</v>
      </c>
      <c r="F6" s="5" t="n">
        <v>-920</v>
      </c>
      <c r="G6" s="5" t="n">
        <v>-220</v>
      </c>
      <c r="H6" s="6" t="n">
        <v>-890</v>
      </c>
    </row>
    <row r="7" ht="15" customFormat="1" customHeight="1" s="12">
      <c r="A7" s="4" t="n"/>
      <c r="B7" s="5" t="inlineStr">
        <is>
          <t>B2</t>
        </is>
      </c>
      <c r="C7" s="5" t="n">
        <v>-170</v>
      </c>
      <c r="D7" s="5" t="n">
        <v>400</v>
      </c>
      <c r="E7" s="5" t="n">
        <v>-420</v>
      </c>
      <c r="F7" s="5" t="n">
        <v>240</v>
      </c>
      <c r="G7" s="5" t="n">
        <v>-90</v>
      </c>
      <c r="H7" s="6" t="n">
        <v>-950</v>
      </c>
    </row>
    <row r="8" ht="15" customFormat="1" customHeight="1" s="12">
      <c r="A8" s="4" t="n"/>
      <c r="B8" s="5" t="inlineStr">
        <is>
          <t>B3</t>
        </is>
      </c>
      <c r="C8" s="5" t="n">
        <v>430</v>
      </c>
      <c r="D8" s="5" t="n">
        <v>120</v>
      </c>
      <c r="E8" s="5" t="n">
        <v>-160</v>
      </c>
      <c r="F8" s="5" t="n">
        <v>-590</v>
      </c>
      <c r="G8" s="5" t="n">
        <v>-850</v>
      </c>
      <c r="H8" s="6" t="n">
        <v>-80</v>
      </c>
    </row>
    <row r="9" ht="15" customFormat="1" customHeight="1" s="12" thickBot="1">
      <c r="A9" s="7" t="n"/>
      <c r="B9" s="8" t="inlineStr">
        <is>
          <t>B4</t>
        </is>
      </c>
      <c r="C9" s="8" t="n">
        <v>-380</v>
      </c>
      <c r="D9" s="8" t="n">
        <v>-910</v>
      </c>
      <c r="E9" s="8" t="n">
        <v>-740</v>
      </c>
      <c r="F9" s="8" t="n">
        <v>-310</v>
      </c>
      <c r="G9" s="8" t="n">
        <v>-270</v>
      </c>
      <c r="H9" s="9" t="n">
        <v>-80</v>
      </c>
    </row>
    <row r="10" ht="17.25" customFormat="1" customHeight="1" s="12" thickTop="1">
      <c r="I10" s="12" t="n"/>
    </row>
  </sheetData>
  <mergeCells count="1">
    <mergeCell ref="A1:H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2017-11-19T01:18:06Z</dcterms:created>
  <dcterms:modified xmlns:dcterms="http://purl.org/dc/terms/" xmlns:xsi="http://www.w3.org/2001/XMLSchema-instance" xsi:type="dcterms:W3CDTF">2026-10-23T00:52:42Z</dcterms:modified>
  <cp:lastModifiedBy>HuynhThuy</cp:lastModifiedBy>
</cp:coreProperties>
</file>