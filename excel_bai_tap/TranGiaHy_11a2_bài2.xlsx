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t qua th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<sst xmlns="http://schemas.openxmlformats.org/spreadsheetml/2006/main" count="22" uniqueCount="19">
  <si>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KẾT QUẢ THI CUỐI KHOÁ</t>
  </si>
  <si>
    <t xml:space="preserve">STT</t>
  </si>
  <si>
    <t xml:space="preserve">TÊN</t>
  </si>
  <si>
    <t xml:space="preserve">Phái</t>
  </si>
  <si>
    <t xml:space="preserve">Toán</t>
  </si>
  <si>
    <t xml:space="preserve">Văn</t>
  </si>
  <si>
    <t xml:space="preserve">KK</t>
  </si>
  <si>
    <t xml:space="preserve">Điểm thấp nhất</t>
  </si>
  <si>
    <t xml:space="preserve">ĐTB</t>
  </si>
  <si>
    <t xml:space="preserve">Kết quả</t>
  </si>
  <si>
    <t xml:space="preserve">Xếp hạng</t>
  </si>
  <si>
    <t xml:space="preserve">Hiệp</t>
  </si>
  <si>
    <t xml:space="preserve">Nga</t>
  </si>
  <si>
    <t xml:space="preserve">x</t>
  </si>
  <si>
    <t xml:space="preserve">Diễm</t>
  </si>
  <si>
    <t xml:space="preserve">Lâm</t>
  </si>
  <si>
    <t xml:space="preserve">Hạnh</t>
  </si>
  <si>
    <t xml:space="preserve">Khoa</t>
  </si>
  <si>
    <t xml:space="preserve">Hương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</si>
</sst>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6" min="4" style="0" width="8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10" min="9" style="0" width="10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3" t="n">
        <v>1</v>
      </c>
      <c r="B4" s="4" t="s">
        <v>11</v>
      </c>
      <c r="C4" s="3"/>
      <c r="D4" s="4" t="n">
        <v>9</v>
      </c>
      <c r="E4" s="4" t="n">
        <v>7</v>
      </c>
      <c r="F4" s="5" t="n">
        <f aca="false">IF(C4="x",0.75,0.25)</f>
        <v>0.25</v>
      </c>
      <c r="G4" s="4" t="n">
        <f aca="false">MIN(D4:E4)</f>
        <v>7</v>
      </c>
      <c r="H4" s="6" t="n">
        <f aca="false">ROUND((D4+E4)/2+F4,1)</f>
        <v>8.3</v>
      </c>
      <c r="I4" s="3" t="str">
        <f aca="false">IF(H4&gt;=5,"đậu","rớt")</f>
        <v>đậu</v>
      </c>
      <c r="J4" s="3" t="n">
        <f aca="false">RANK(H4,$H$4:$H$10)</f>
        <v>2</v>
      </c>
    </row>
    <row r="5" customFormat="false" ht="15" hidden="false" customHeight="false" outlineLevel="0" collapsed="false">
      <c r="A5" s="3" t="n">
        <v>2</v>
      </c>
      <c r="B5" s="4" t="s">
        <v>12</v>
      </c>
      <c r="C5" s="3" t="s">
        <v>13</v>
      </c>
      <c r="D5" s="4" t="n">
        <v>6</v>
      </c>
      <c r="E5" s="4" t="n">
        <v>7</v>
      </c>
      <c r="F5" s="5" t="n">
        <f aca="false">IF(C5="x",0.75,0.25)</f>
        <v>0.75</v>
      </c>
      <c r="G5" s="4" t="n">
        <f aca="false">MIN(D5:E5)</f>
        <v>6</v>
      </c>
      <c r="H5" s="6" t="n">
        <f aca="false">ROUND((D5+E5)/2+F5,1)</f>
        <v>7.3</v>
      </c>
      <c r="I5" s="3" t="str">
        <f aca="false">IF(H5&gt;=5,"đậu","rớt")</f>
        <v>đậu</v>
      </c>
      <c r="J5" s="3" t="n">
        <f aca="false">RANK(H5,$H$4:$H$10)</f>
        <v>4</v>
      </c>
    </row>
    <row r="6" customFormat="false" ht="15" hidden="false" customHeight="false" outlineLevel="0" collapsed="false">
      <c r="A6" s="3" t="n">
        <v>3</v>
      </c>
      <c r="B6" s="4" t="s">
        <v>14</v>
      </c>
      <c r="C6" s="3" t="s">
        <v>13</v>
      </c>
      <c r="D6" s="4" t="n">
        <v>7</v>
      </c>
      <c r="E6" s="4" t="n">
        <v>6</v>
      </c>
      <c r="F6" s="5" t="n">
        <f aca="false">IF(C6="x",0.75,0.25)</f>
        <v>0.75</v>
      </c>
      <c r="G6" s="4" t="n">
        <f aca="false">MIN(D6:E6)</f>
        <v>6</v>
      </c>
      <c r="H6" s="6" t="n">
        <f aca="false">ROUND((D6+E6)/2+F6,1)</f>
        <v>7.3</v>
      </c>
      <c r="I6" s="3" t="str">
        <f aca="false">IF(H6&gt;=5,"đậu","rớt")</f>
        <v>đậu</v>
      </c>
      <c r="J6" s="3" t="n">
        <f aca="false">RANK(H6,$H$4:$H$10)</f>
        <v>4</v>
      </c>
    </row>
    <row r="7" customFormat="false" ht="15" hidden="false" customHeight="false" outlineLevel="0" collapsed="false">
      <c r="A7" s="3" t="n">
        <v>4</v>
      </c>
      <c r="B7" s="4" t="s">
        <v>15</v>
      </c>
      <c r="C7" s="3"/>
      <c r="D7" s="4" t="n">
        <v>4</v>
      </c>
      <c r="E7" s="4" t="n">
        <v>5</v>
      </c>
      <c r="F7" s="5" t="n">
        <f aca="false">IF(C7="x",0.75,0.25)</f>
        <v>0.25</v>
      </c>
      <c r="G7" s="4" t="n">
        <f aca="false">MIN(D7:E7)</f>
        <v>4</v>
      </c>
      <c r="H7" s="6" t="n">
        <f aca="false">ROUND((D7+E7)/2+F7,1)</f>
        <v>4.8</v>
      </c>
      <c r="I7" s="3" t="str">
        <f aca="false">IF(H7&gt;=5,"đậu","rớt")</f>
        <v>rớt</v>
      </c>
      <c r="J7" s="3" t="n">
        <f aca="false">RANK(H7,$H$4:$H$10)</f>
        <v>7</v>
      </c>
    </row>
    <row r="8" customFormat="false" ht="15" hidden="false" customHeight="false" outlineLevel="0" collapsed="false">
      <c r="A8" s="3" t="n">
        <v>5</v>
      </c>
      <c r="B8" s="4" t="s">
        <v>16</v>
      </c>
      <c r="C8" s="3" t="s">
        <v>13</v>
      </c>
      <c r="D8" s="4" t="n">
        <v>7</v>
      </c>
      <c r="E8" s="4" t="n">
        <v>8</v>
      </c>
      <c r="F8" s="5" t="n">
        <f aca="false">IF(C8="x",0.75,0.25)</f>
        <v>0.75</v>
      </c>
      <c r="G8" s="4" t="n">
        <f aca="false">MIN(D8:E8)</f>
        <v>7</v>
      </c>
      <c r="H8" s="6" t="n">
        <f aca="false">ROUND((D8+E8)/2+F8,1)</f>
        <v>8.3</v>
      </c>
      <c r="I8" s="3" t="str">
        <f aca="false">IF(H8&gt;=5,"đậu","rớt")</f>
        <v>đậu</v>
      </c>
      <c r="J8" s="3" t="n">
        <f aca="false">RANK(H8,$H$4:$H$10)</f>
        <v>2</v>
      </c>
    </row>
    <row r="9" customFormat="false" ht="15" hidden="false" customHeight="false" outlineLevel="0" collapsed="false">
      <c r="A9" s="3" t="n">
        <v>6</v>
      </c>
      <c r="B9" s="4" t="s">
        <v>17</v>
      </c>
      <c r="C9" s="3"/>
      <c r="D9" s="4" t="n">
        <v>8</v>
      </c>
      <c r="E9" s="4" t="n">
        <v>6</v>
      </c>
      <c r="F9" s="5" t="n">
        <f aca="false">IF(C9="x",0.75,0.25)</f>
        <v>0.25</v>
      </c>
      <c r="G9" s="4" t="n">
        <f aca="false">MIN(D9:E9)</f>
        <v>6</v>
      </c>
      <c r="H9" s="6" t="n">
        <f aca="false">ROUND((D9+E9)/2+F9,1)</f>
        <v>7.3</v>
      </c>
      <c r="I9" s="3" t="str">
        <f aca="false">IF(H9&gt;=5,"đậu","rớt")</f>
        <v>đậu</v>
      </c>
      <c r="J9" s="3" t="n">
        <f aca="false">RANK(H9,$H$4:$H$10)</f>
        <v>4</v>
      </c>
    </row>
    <row r="10" customFormat="false" ht="15" hidden="false" customHeight="false" outlineLevel="0" collapsed="false">
      <c r="A10" s="3" t="n">
        <v>7</v>
      </c>
      <c r="B10" s="4" t="s">
        <v>18</v>
      </c>
      <c r="C10" s="3" t="s">
        <v>13</v>
      </c>
      <c r="D10" s="4" t="n">
        <v>10</v>
      </c>
      <c r="E10" s="4" t="n">
        <v>8</v>
      </c>
      <c r="F10" s="5" t="n">
        <f aca="false">IF(C10="x",0.75,0.25)</f>
        <v>0.75</v>
      </c>
      <c r="G10" s="4" t="n">
        <f aca="false">MIN(D10:E10)</f>
        <v>8</v>
      </c>
      <c r="H10" s="6" t="n">
        <f aca="false">ROUND((D10+E10)/2+F10,1)</f>
        <v>9.8</v>
      </c>
      <c r="I10" s="3" t="str">
        <f aca="false">IF(H10&gt;=5,"đậu","rớt")</f>
        <v>đậu</v>
      </c>
      <c r="J10" s="3" t="n">
        <f aca="false">RANK(H10,$H$4:$H$10)</f>
        <v>1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2026-10-16T01:12:48Z</dcterms:created>
  <dc:creator>openpyxl</dc:creator>
  <dc:description/>
  <dc:language>en-US</dc:language>
  <cp:lastModifiedBy/>
  <dcterms:modified xsi:type="dcterms:W3CDTF">2026-10-16T01:12:48Z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